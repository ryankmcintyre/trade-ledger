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ab570cb9faa11/Temp/"/>
    </mc:Choice>
  </mc:AlternateContent>
  <xr:revisionPtr revIDLastSave="2" documentId="8_{800FEB3E-8101-45D6-9F3E-5EEE4132E623}" xr6:coauthVersionLast="47" xr6:coauthVersionMax="47" xr10:uidLastSave="{EEA117DA-64F0-4706-AD0E-9E04CEA0E66B}"/>
  <bookViews>
    <workbookView xWindow="-120" yWindow="-120" windowWidth="29040" windowHeight="15720" xr2:uid="{E071C4C2-8783-4E80-B5CE-7134B0887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 a="1"/>
  <c r="B51" i="1" a="1"/>
  <c r="I50" i="1" a="1"/>
  <c r="B50" i="1" a="1"/>
  <c r="I49" i="1" a="1"/>
  <c r="B49" i="1" a="1"/>
  <c r="I48" i="1" a="1"/>
  <c r="B48" i="1" a="1"/>
  <c r="I47" i="1" a="1"/>
  <c r="B47" i="1" a="1"/>
  <c r="I46" i="1" a="1"/>
  <c r="B46" i="1" a="1"/>
  <c r="I45" i="1" a="1"/>
  <c r="B45" i="1" a="1"/>
  <c r="V44" i="1"/>
  <c r="I44" i="1" a="1"/>
  <c r="B44" i="1" a="1"/>
  <c r="I43" i="1" a="1"/>
  <c r="B43" i="1" a="1"/>
  <c r="I42" i="1" a="1"/>
  <c r="H42" i="1"/>
  <c r="B42" i="1" a="1"/>
  <c r="I41" i="1" a="1"/>
  <c r="B41" i="1" a="1"/>
  <c r="I40" i="1" a="1"/>
  <c r="B40" i="1" a="1"/>
  <c r="I39" i="1" a="1"/>
  <c r="B39" i="1" a="1"/>
  <c r="I38" i="1" a="1"/>
  <c r="B38" i="1" a="1"/>
  <c r="I37" i="1" a="1"/>
  <c r="B37" i="1" a="1"/>
  <c r="I36" i="1" a="1"/>
  <c r="B36" i="1" a="1"/>
  <c r="I35" i="1" a="1"/>
  <c r="B35" i="1" a="1"/>
  <c r="I34" i="1" a="1"/>
  <c r="B34" i="1" a="1"/>
  <c r="I33" i="1" a="1"/>
  <c r="B33" i="1" a="1"/>
  <c r="I32" i="1" a="1"/>
  <c r="B32" i="1" a="1"/>
  <c r="I31" i="1" a="1"/>
  <c r="B31" i="1" a="1"/>
  <c r="I30" i="1" a="1"/>
  <c r="B30" i="1" a="1"/>
  <c r="I29" i="1" a="1"/>
  <c r="B29" i="1" a="1"/>
  <c r="I28" i="1" a="1"/>
  <c r="B28" i="1" a="1"/>
  <c r="I27" i="1" a="1"/>
  <c r="B27" i="1" a="1"/>
  <c r="I26" i="1" a="1"/>
  <c r="B26" i="1" a="1"/>
  <c r="I25" i="1" a="1"/>
  <c r="B25" i="1" a="1"/>
  <c r="I24" i="1" a="1"/>
  <c r="B24" i="1" a="1"/>
  <c r="I23" i="1" a="1"/>
  <c r="B23" i="1" a="1"/>
  <c r="I22" i="1" a="1"/>
  <c r="B22" i="1" a="1"/>
  <c r="I21" i="1" a="1"/>
  <c r="B21" i="1" a="1"/>
  <c r="I20" i="1" a="1"/>
  <c r="B20" i="1" a="1"/>
  <c r="I19" i="1" a="1"/>
  <c r="B19" i="1" a="1"/>
  <c r="I18" i="1" a="1"/>
  <c r="B18" i="1" a="1"/>
  <c r="I17" i="1" a="1"/>
  <c r="B17" i="1" a="1"/>
  <c r="I16" i="1" a="1"/>
  <c r="B16" i="1" a="1"/>
  <c r="I15" i="1" a="1"/>
  <c r="B15" i="1" a="1"/>
  <c r="I14" i="1" a="1"/>
  <c r="B14" i="1" a="1"/>
  <c r="I13" i="1" a="1"/>
  <c r="B13" i="1" a="1"/>
  <c r="I12" i="1" a="1"/>
  <c r="B12" i="1" a="1"/>
  <c r="I11" i="1" a="1"/>
  <c r="B11" i="1" a="1"/>
  <c r="I10" i="1" a="1"/>
  <c r="B10" i="1" a="1"/>
  <c r="I9" i="1" a="1"/>
  <c r="B9" i="1" a="1"/>
  <c r="I8" i="1" a="1"/>
  <c r="B8" i="1" a="1"/>
  <c r="I7" i="1" a="1"/>
  <c r="B7" i="1" a="1"/>
  <c r="I6" i="1" a="1"/>
  <c r="B6" i="1" a="1"/>
  <c r="I5" i="1" a="1"/>
  <c r="B5" i="1" a="1"/>
  <c r="I4" i="1" a="1"/>
  <c r="B4" i="1" a="1"/>
  <c r="I3" i="1" a="1"/>
  <c r="B3" i="1" a="1"/>
  <c r="I2" i="1" a="1"/>
  <c r="B2" i="1" a="1"/>
  <c r="U51" i="1" l="1"/>
  <c r="N51" i="1"/>
  <c r="X49" i="1"/>
  <c r="V49" i="1"/>
  <c r="T49" i="1"/>
  <c r="J49" i="1"/>
  <c r="U48" i="1"/>
  <c r="N48" i="1"/>
  <c r="H48" i="1"/>
  <c r="X47" i="1"/>
  <c r="U47" i="1"/>
  <c r="N47" i="1"/>
  <c r="V46" i="1"/>
  <c r="U46" i="1"/>
  <c r="O46" i="1"/>
  <c r="J46" i="1"/>
  <c r="H46" i="1"/>
  <c r="U45" i="1"/>
  <c r="O45" i="1"/>
  <c r="J45" i="1"/>
  <c r="U44" i="1"/>
  <c r="N44" i="1"/>
  <c r="V43" i="1"/>
  <c r="N43" i="1"/>
  <c r="N42" i="1"/>
  <c r="X41" i="1"/>
  <c r="V41" i="1"/>
  <c r="O41" i="1"/>
  <c r="X40" i="1"/>
  <c r="U40" i="1"/>
  <c r="T40" i="1"/>
  <c r="N40" i="1"/>
  <c r="J40" i="1"/>
  <c r="H40" i="1"/>
  <c r="X39" i="1"/>
  <c r="V39" i="1"/>
  <c r="T39" i="1"/>
  <c r="N39" i="1"/>
  <c r="T38" i="1"/>
  <c r="J38" i="1"/>
  <c r="H38" i="1"/>
  <c r="U37" i="1"/>
  <c r="N37" i="1"/>
  <c r="H37" i="1"/>
  <c r="V36" i="1"/>
  <c r="T36" i="1"/>
  <c r="N36" i="1"/>
  <c r="V35" i="1"/>
  <c r="T35" i="1"/>
  <c r="N35" i="1"/>
  <c r="V34" i="1"/>
  <c r="T34" i="1"/>
  <c r="J34" i="1"/>
  <c r="X33" i="1"/>
  <c r="U33" i="1"/>
  <c r="T33" i="1"/>
  <c r="N33" i="1"/>
  <c r="H33" i="1"/>
  <c r="X32" i="1"/>
  <c r="U32" i="1"/>
  <c r="N32" i="1"/>
  <c r="J32" i="1"/>
  <c r="H32" i="1"/>
  <c r="X31" i="1"/>
  <c r="V31" i="1"/>
  <c r="U31" i="1"/>
  <c r="J31" i="1"/>
  <c r="H31" i="1"/>
  <c r="V30" i="1"/>
  <c r="N30" i="1"/>
  <c r="H30" i="1"/>
  <c r="X29" i="1"/>
  <c r="V29" i="1"/>
  <c r="V28" i="1"/>
  <c r="N28" i="1"/>
  <c r="X27" i="1"/>
  <c r="O27" i="1"/>
  <c r="O24" i="1"/>
  <c r="O23" i="1"/>
  <c r="X22" i="1"/>
  <c r="V22" i="1"/>
  <c r="H22" i="1"/>
  <c r="X21" i="1"/>
  <c r="U21" i="1"/>
  <c r="N21" i="1"/>
  <c r="X20" i="1"/>
  <c r="V20" i="1"/>
  <c r="T20" i="1"/>
  <c r="N20" i="1"/>
  <c r="H19" i="1"/>
  <c r="X18" i="1"/>
  <c r="V18" i="1"/>
  <c r="J18" i="1"/>
  <c r="H18" i="1"/>
  <c r="N17" i="1"/>
  <c r="O16" i="1"/>
  <c r="N15" i="1"/>
  <c r="H15" i="1"/>
  <c r="U14" i="1"/>
  <c r="O14" i="1"/>
  <c r="N14" i="1"/>
  <c r="U13" i="1"/>
  <c r="T13" i="1"/>
  <c r="J13" i="1"/>
  <c r="X11" i="1"/>
  <c r="V11" i="1"/>
  <c r="O11" i="1"/>
  <c r="N11" i="1"/>
  <c r="H11" i="1"/>
  <c r="X10" i="1"/>
  <c r="U10" i="1"/>
  <c r="N10" i="1"/>
  <c r="X9" i="1"/>
  <c r="U9" i="1"/>
  <c r="N9" i="1"/>
  <c r="O8" i="1"/>
  <c r="J8" i="1"/>
  <c r="N7" i="1"/>
  <c r="H7" i="1"/>
  <c r="X6" i="1"/>
  <c r="V6" i="1"/>
  <c r="U6" i="1"/>
  <c r="J6" i="1"/>
  <c r="H6" i="1"/>
  <c r="U5" i="1"/>
  <c r="O5" i="1"/>
  <c r="V4" i="1"/>
  <c r="O4" i="1"/>
  <c r="U3" i="1"/>
  <c r="N3" i="1"/>
  <c r="V2" i="1"/>
  <c r="O2" i="1"/>
  <c r="N2" i="1"/>
  <c r="H2" i="1"/>
  <c r="X51" i="1"/>
  <c r="V51" i="1"/>
  <c r="T51" i="1"/>
  <c r="O51" i="1"/>
  <c r="J51" i="1"/>
  <c r="H51" i="1"/>
  <c r="V48" i="1"/>
  <c r="T48" i="1"/>
  <c r="O47" i="1"/>
  <c r="H47" i="1"/>
  <c r="X46" i="1"/>
  <c r="X45" i="1"/>
  <c r="V45" i="1"/>
  <c r="N45" i="1"/>
  <c r="H45" i="1"/>
  <c r="X44" i="1"/>
  <c r="T44" i="1"/>
  <c r="H44" i="1"/>
  <c r="X43" i="1"/>
  <c r="U43" i="1"/>
  <c r="O43" i="1"/>
  <c r="H43" i="1"/>
  <c r="X42" i="1"/>
  <c r="V42" i="1"/>
  <c r="T42" i="1"/>
  <c r="O42" i="1"/>
  <c r="J42" i="1"/>
  <c r="V33" i="1"/>
  <c r="O33" i="1"/>
  <c r="V32" i="1"/>
  <c r="T32" i="1"/>
  <c r="N31" i="1"/>
  <c r="T30" i="1"/>
  <c r="H29" i="1"/>
  <c r="T28" i="1"/>
  <c r="J28" i="1"/>
  <c r="H26" i="1"/>
  <c r="U25" i="1"/>
  <c r="T25" i="1"/>
  <c r="N25" i="1"/>
  <c r="J25" i="1"/>
  <c r="H25" i="1"/>
  <c r="X24" i="1"/>
  <c r="V24" i="1"/>
  <c r="U24" i="1"/>
  <c r="J24" i="1"/>
  <c r="V23" i="1"/>
  <c r="N22" i="1"/>
  <c r="T21" i="1"/>
  <c r="J21" i="1"/>
  <c r="J20" i="1"/>
  <c r="X19" i="1"/>
  <c r="T19" i="1"/>
  <c r="U18" i="1"/>
  <c r="T18" i="1"/>
  <c r="U17" i="1"/>
  <c r="O17" i="1"/>
  <c r="J17" i="1"/>
  <c r="U16" i="1"/>
  <c r="N16" i="1"/>
  <c r="X15" i="1"/>
  <c r="V15" i="1"/>
  <c r="O15" i="1"/>
  <c r="T14" i="1"/>
  <c r="V12" i="1"/>
  <c r="T12" i="1"/>
  <c r="J12" i="1"/>
  <c r="T11" i="1"/>
  <c r="V10" i="1"/>
  <c r="W9" i="1"/>
  <c r="J9" i="1"/>
  <c r="H9" i="1"/>
  <c r="X8" i="1"/>
  <c r="V8" i="1"/>
  <c r="T8" i="1"/>
  <c r="H8" i="1"/>
  <c r="X7" i="1"/>
  <c r="O6" i="1"/>
  <c r="N5" i="1"/>
  <c r="X34" i="1"/>
  <c r="N34" i="1"/>
  <c r="U30" i="1"/>
  <c r="O30" i="1"/>
  <c r="U29" i="1"/>
  <c r="O29" i="1"/>
  <c r="J29" i="1"/>
  <c r="U28" i="1"/>
  <c r="U27" i="1"/>
  <c r="N27" i="1"/>
  <c r="H27" i="1"/>
  <c r="X26" i="1"/>
  <c r="V26" i="1"/>
  <c r="U26" i="1"/>
  <c r="T26" i="1"/>
  <c r="O26" i="1"/>
  <c r="N26" i="1"/>
  <c r="J26" i="1"/>
  <c r="X25" i="1"/>
  <c r="V25" i="1"/>
  <c r="O25" i="1"/>
  <c r="T24" i="1"/>
  <c r="N24" i="1"/>
  <c r="H24" i="1"/>
  <c r="U23" i="1"/>
  <c r="N23" i="1"/>
  <c r="H23" i="1"/>
  <c r="U22" i="1"/>
  <c r="O22" i="1"/>
  <c r="V21" i="1"/>
  <c r="O21" i="1"/>
  <c r="H21" i="1"/>
  <c r="W20" i="1"/>
  <c r="O20" i="1"/>
  <c r="H20" i="1"/>
  <c r="W19" i="1"/>
  <c r="V19" i="1"/>
  <c r="N19" i="1"/>
  <c r="O18" i="1"/>
  <c r="V17" i="1"/>
  <c r="H17" i="1"/>
  <c r="X16" i="1"/>
  <c r="T16" i="1"/>
  <c r="T15" i="1"/>
  <c r="J14" i="1"/>
  <c r="H14" i="1"/>
  <c r="X13" i="1"/>
  <c r="V13" i="1"/>
  <c r="O13" i="1"/>
  <c r="X12" i="1"/>
  <c r="U12" i="1"/>
  <c r="O12" i="1"/>
  <c r="T10" i="1"/>
  <c r="J10" i="1"/>
  <c r="H10" i="1"/>
  <c r="T9" i="1"/>
  <c r="V7" i="1"/>
  <c r="U7" i="1"/>
  <c r="T7" i="1"/>
  <c r="J7" i="1"/>
  <c r="V5" i="1"/>
  <c r="T5" i="1"/>
  <c r="J5" i="1"/>
  <c r="U4" i="1"/>
  <c r="N4" i="1"/>
  <c r="H4" i="1"/>
  <c r="X3" i="1"/>
  <c r="V3" i="1"/>
  <c r="O3" i="1"/>
  <c r="J3" i="1"/>
  <c r="H3" i="1"/>
  <c r="X2" i="1"/>
  <c r="U2" i="1"/>
  <c r="X50" i="1"/>
  <c r="V50" i="1"/>
  <c r="U50" i="1"/>
  <c r="T50" i="1"/>
  <c r="O50" i="1"/>
  <c r="N50" i="1"/>
  <c r="J50" i="1"/>
  <c r="H50" i="1"/>
  <c r="U49" i="1"/>
  <c r="O49" i="1"/>
  <c r="N49" i="1"/>
  <c r="H49" i="1"/>
  <c r="X48" i="1"/>
  <c r="O48" i="1"/>
  <c r="J48" i="1"/>
  <c r="V47" i="1"/>
  <c r="T47" i="1"/>
  <c r="J47" i="1"/>
  <c r="W46" i="1"/>
  <c r="T46" i="1"/>
  <c r="N46" i="1"/>
  <c r="T45" i="1"/>
  <c r="O44" i="1"/>
  <c r="J44" i="1"/>
  <c r="T43" i="1"/>
  <c r="J43" i="1"/>
  <c r="U42" i="1"/>
  <c r="U41" i="1"/>
  <c r="T41" i="1"/>
  <c r="N41" i="1"/>
  <c r="J41" i="1"/>
  <c r="H41" i="1"/>
  <c r="V40" i="1"/>
  <c r="O40" i="1"/>
  <c r="U39" i="1"/>
  <c r="O39" i="1"/>
  <c r="J39" i="1"/>
  <c r="H39" i="1"/>
  <c r="X38" i="1"/>
  <c r="V38" i="1"/>
  <c r="U38" i="1"/>
  <c r="O38" i="1"/>
  <c r="N38" i="1"/>
  <c r="X37" i="1"/>
  <c r="V37" i="1"/>
  <c r="T37" i="1"/>
  <c r="O37" i="1"/>
  <c r="J37" i="1"/>
  <c r="X36" i="1"/>
  <c r="U36" i="1"/>
  <c r="O36" i="1"/>
  <c r="J36" i="1"/>
  <c r="H36" i="1"/>
  <c r="X35" i="1"/>
  <c r="U35" i="1"/>
  <c r="O35" i="1"/>
  <c r="J35" i="1"/>
  <c r="H35" i="1"/>
  <c r="U34" i="1"/>
  <c r="O34" i="1"/>
  <c r="H34" i="1"/>
  <c r="W33" i="1"/>
  <c r="J33" i="1"/>
  <c r="W32" i="1"/>
  <c r="O32" i="1"/>
  <c r="T31" i="1"/>
  <c r="O31" i="1"/>
  <c r="X30" i="1"/>
  <c r="J30" i="1"/>
  <c r="W29" i="1"/>
  <c r="T29" i="1"/>
  <c r="N29" i="1"/>
  <c r="X28" i="1"/>
  <c r="O28" i="1"/>
  <c r="H28" i="1"/>
  <c r="V27" i="1"/>
  <c r="T27" i="1"/>
  <c r="J27" i="1"/>
  <c r="X23" i="1"/>
  <c r="T23" i="1"/>
  <c r="J23" i="1"/>
  <c r="T22" i="1"/>
  <c r="J22" i="1"/>
  <c r="U20" i="1"/>
  <c r="U19" i="1"/>
  <c r="O19" i="1"/>
  <c r="J19" i="1"/>
  <c r="N18" i="1"/>
  <c r="X17" i="1"/>
  <c r="T17" i="1"/>
  <c r="V16" i="1"/>
  <c r="J16" i="1"/>
  <c r="H16" i="1"/>
  <c r="U15" i="1"/>
  <c r="J15" i="1"/>
  <c r="X14" i="1"/>
  <c r="V14" i="1"/>
  <c r="N13" i="1"/>
  <c r="H13" i="1"/>
  <c r="N12" i="1"/>
  <c r="H12" i="1"/>
  <c r="U11" i="1"/>
  <c r="J11" i="1"/>
  <c r="O10" i="1"/>
  <c r="V9" i="1"/>
  <c r="O9" i="1"/>
  <c r="U8" i="1"/>
  <c r="N8" i="1"/>
  <c r="O7" i="1"/>
  <c r="T6" i="1"/>
  <c r="N6" i="1"/>
  <c r="X5" i="1"/>
  <c r="H5" i="1"/>
  <c r="X4" i="1"/>
  <c r="T4" i="1"/>
  <c r="J4" i="1"/>
  <c r="T3" i="1"/>
  <c r="T2" i="1"/>
  <c r="J2" i="1"/>
  <c r="W51" i="1" l="1"/>
  <c r="W44" i="1"/>
  <c r="W37" i="1"/>
  <c r="W36" i="1"/>
  <c r="W30" i="1"/>
  <c r="W24" i="1"/>
  <c r="W17" i="1"/>
  <c r="W43" i="1"/>
  <c r="W34" i="1"/>
  <c r="W31" i="1"/>
  <c r="W8" i="1"/>
  <c r="W47" i="1"/>
  <c r="W41" i="1"/>
  <c r="W35" i="1"/>
  <c r="W22" i="1"/>
  <c r="W21" i="1"/>
  <c r="W18" i="1"/>
  <c r="W15" i="1"/>
  <c r="W12" i="1"/>
  <c r="W11" i="1"/>
  <c r="W7" i="1"/>
  <c r="W6" i="1"/>
  <c r="W16" i="1"/>
  <c r="W13" i="1"/>
  <c r="W28" i="1"/>
  <c r="W25" i="1"/>
  <c r="W27" i="1"/>
  <c r="W26" i="1"/>
  <c r="W23" i="1"/>
  <c r="W50" i="1"/>
  <c r="W3" i="1"/>
  <c r="W2" i="1"/>
  <c r="W48" i="1"/>
  <c r="W45" i="1"/>
  <c r="W40" i="1"/>
  <c r="W38" i="1"/>
  <c r="W5" i="1"/>
  <c r="W4" i="1"/>
  <c r="W14" i="1"/>
  <c r="W42" i="1"/>
  <c r="W10" i="1"/>
  <c r="W49" i="1"/>
  <c r="W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<sst xmlns="http://schemas.openxmlformats.org/spreadsheetml/2006/main" count="27" uniqueCount="27">
  <si>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Stock</t>
  </si>
  <si>
    <t>Stock Symbol</t>
  </si>
  <si>
    <t>Open Date</t>
  </si>
  <si>
    <t>Exp Date</t>
  </si>
  <si>
    <t>Call or Put</t>
  </si>
  <si>
    <t>B/S</t>
  </si>
  <si>
    <t>Stock Price DOC</t>
  </si>
  <si>
    <t>DTE</t>
  </si>
  <si>
    <t>Current Stock Price</t>
  </si>
  <si>
    <t>Break Even Price</t>
  </si>
  <si>
    <t>Strike Price</t>
  </si>
  <si>
    <t>Premium</t>
  </si>
  <si>
    <t>C</t>
  </si>
  <si>
    <t>Collateral</t>
  </si>
  <si>
    <t>(Put) Margin Cash Reserve</t>
  </si>
  <si>
    <t>(Call) Cost Basis/Share</t>
  </si>
  <si>
    <t>Fees</t>
  </si>
  <si>
    <t>Exit Price</t>
  </si>
  <si>
    <t>Close Date</t>
  </si>
  <si>
    <t>Profit/Loss</t>
  </si>
  <si>
    <t>Days Held</t>
  </si>
  <si>
    <t>Return on Capital</t>
  </si>
  <si>
    <t>Annualized ROR for Options</t>
  </si>
  <si>
    <t>Margin Annualized ROR</t>
  </si>
  <si>
    <t>Status</t>
  </si>
  <si>
    <t>Account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</si>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</sst>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&quot;/&quot;yy"/>
    <numFmt numFmtId="165" formatCode="_([$$-409]* #,##0.00_);_([$$-409]* \(#,##0.00\);_([$$-409]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CCFFD8"/>
        <bgColor rgb="FFCCFFD8"/>
      </patternFill>
    </fill>
    <fill>
      <patternFill patternType="solid">
        <fgColor rgb="FF274E13"/>
        <bgColor rgb="FF274E1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10" fontId="3" fillId="3" borderId="1" xfId="0" applyNumberFormat="1" applyFont="1" applyFill="1" applyBorder="1"/>
    <xf numFmtId="10" fontId="3" fillId="3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5" fillId="2" borderId="0" xfId="0" applyFont="1" applyFill="1"/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/>
  </cellXfs>
  <cellStyles count="2">
    <cellStyle name="Normal" xfId="0" builtinId="0"/>
    <cellStyle name="Percent" xfId="1" builtin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274E13"/>
          <bgColor rgb="FF274E1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solid">
          <fgColor rgb="FFCCFFD8"/>
          <bgColor rgb="FFCCFFD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solid">
          <fgColor rgb="FFCCFFD8"/>
          <bgColor rgb="FFCCFFD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m&quot;/&quot;d&quot;/&quot;yy"/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[$$-409]* #,##0.00_);_([$$-409]* \(#,##0.00\);_([$$-409]* &quot;-&quot;??_);_(@_)"/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CCFFD8"/>
          <bgColor rgb="FFCCFFD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m&quot;/&quot;d&quot;/&quot;yy"/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m&quot;/&quot;d&quot;/&quot;yy"/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9CB9C"/>
          <bgColor rgb="FFF9CB9C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color rgb="FFFFFFFF"/>
      </font>
      <fill>
        <patternFill patternType="solid">
          <fgColor rgb="FF8D0000"/>
          <bgColor rgb="FF8D00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94FF6-12FE-479D-AE05-63BA9E5DFB68}" name="tbl_trades" displayName="tbl_trades" ref="A1:AA51" totalsRowShown="0" headerRowDxfId="0" tableBorderDxfId="27">
  <autoFilter ref="A1:AA51" xr:uid="{AB194FF6-12FE-479D-AE05-63BA9E5DFB68}"/>
  <tableColumns count="27">
    <tableColumn id="1" xr3:uid="{A2309F92-C631-40A1-9334-63AA61622966}" name="Stock" dataDxfId="26"/>
    <tableColumn id="2" xr3:uid="{4698E5A8-CA19-4AE2-8084-2E554AD39CB3}" name="Stock Symbol" dataDxfId="25">
      <calculatedColumnFormula array="1">IF(A2="", "",_FV( A2,"Ticker symbol",TRUE))</calculatedColumnFormula>
    </tableColumn>
    <tableColumn id="3" xr3:uid="{E8DBA26F-DF50-4FEE-AB17-A04110D51B46}" name="Open Date" dataDxfId="24"/>
    <tableColumn id="4" xr3:uid="{80C94EAE-57EB-4A39-AE1E-752A7D4A1DE9}" name="Exp Date" dataDxfId="23"/>
    <tableColumn id="5" xr3:uid="{A4886101-A54C-4C16-8026-8E8BC3DA6096}" name="Call or Put" dataDxfId="22"/>
    <tableColumn id="6" xr3:uid="{ED583EE7-92D7-4EF0-8CE5-45DCD1A71070}" name="B/S" dataDxfId="21"/>
    <tableColumn id="7" xr3:uid="{2C994674-E180-4FA9-B72D-EA5DF37E5E82}" name="Stock Price DOC" dataDxfId="20"/>
    <tableColumn id="8" xr3:uid="{50EEBCAA-9E6B-4E0D-A4BE-68825EC68402}" name="DTE" dataDxfId="19">
      <calculatedColumnFormula>IF(ISBLANK(B2),,MAX(D2-TODAY(),0))</calculatedColumnFormula>
    </tableColumn>
    <tableColumn id="9" xr3:uid="{74F39B57-C084-4390-AFC1-B64BF2DCACE6}" name="Current Stock Price" dataDxfId="18">
      <calculatedColumnFormula array="1">IF(A2="", "",_FV( A2,"Price"))</calculatedColumnFormula>
    </tableColumn>
    <tableColumn id="10" xr3:uid="{D00E022D-C803-40A9-B604-FDBA617885BF}" name="Break Even Price" dataDxfId="17">
      <calculatedColumnFormula>IF(ISBLANK(B2),,IF(E2="Put",K2-L2,K2+L2))</calculatedColumnFormula>
    </tableColumn>
    <tableColumn id="11" xr3:uid="{3B06AD62-5331-4A37-A47F-387AFEE9C549}" name="Strike Price" dataDxfId="16"/>
    <tableColumn id="12" xr3:uid="{B01FB6A1-C247-46F2-9416-2F92FBDFEA0F}" name="Premium" dataDxfId="15"/>
    <tableColumn id="13" xr3:uid="{F2A812B4-E970-499A-A75B-3DFF8BBAA016}" name="C" dataDxfId="14"/>
    <tableColumn id="14" xr3:uid="{26ECBCAD-B88C-405C-AB1C-5FDCC60FADE8}" name="Collateral" dataDxfId="13">
      <calculatedColumnFormula>IF(ISBLANK(B2),,IF(F2="S",K2*100*M2,"---------"))</calculatedColumnFormula>
    </tableColumn>
    <tableColumn id="15" xr3:uid="{FB961B5F-63E1-405C-9AFB-1E12A168A1AD}" name="(Put) Margin Cash Reserve" dataDxfId="12">
      <calculatedColumnFormula>IF(ISBLANK(B2),,IF(AND(E2="Put",F2="S"),((0.25*G2)+L2+(K2-G2))*100*M2,"---------"))</calculatedColumnFormula>
    </tableColumn>
    <tableColumn id="16" xr3:uid="{3BFD0992-845A-4555-B5FC-E4C77D3A17EC}" name="(Call) Cost Basis/Share" dataDxfId="11"/>
    <tableColumn id="17" xr3:uid="{57A29CD1-D49F-4553-8DFF-5E84AE34A836}" name="Fees" dataDxfId="10"/>
    <tableColumn id="18" xr3:uid="{784C38DD-1578-4C78-A628-74622C65AA98}" name="Exit Price" dataDxfId="9"/>
    <tableColumn id="19" xr3:uid="{4C301804-860D-4498-929A-95ADF7CF0698}" name="Close Date" dataDxfId="8"/>
    <tableColumn id="20" xr3:uid="{C742526E-6ACF-4BAE-BAF4-4C46708E3E84}" name="Profit/Loss" dataDxfId="7">
      <calculatedColumnFormula>IF(ISBLANK(B2),,IF(F2="S",100*M2*(L2-R2)-Q2,100*M2*(R2-L2)-Q2))</calculatedColumnFormula>
    </tableColumn>
    <tableColumn id="21" xr3:uid="{4C38055A-7A18-4BA0-9C47-1FEAFB6FE9DC}" name="Days Held" dataDxfId="6">
      <calculatedColumnFormula>IF(ISBLANK(B2),,DATEDIF(C2,(IF(ISBLANK(S2),D2,S2)),"D"))</calculatedColumnFormula>
    </tableColumn>
    <tableColumn id="22" xr3:uid="{CC573472-7DF2-43C9-9CAB-C22BA30D6140}" name="Return on Capital" dataDxfId="5" dataCellStyle="Percent">
      <calculatedColumnFormula>IF(OR(ISBLANK(B2),ISBLANK(S2)),"-----------",IF(OR(F2="B",F2="C"),(T2)/(L2*M2*100),T2/N2))</calculatedColumnFormula>
    </tableColumn>
    <tableColumn id="23" xr3:uid="{6DDA91D8-4237-45EC-BCD7-C047A0EDE8E2}" name="Annualized ROR for Options" dataDxfId="4">
      <calculatedColumnFormula>IF(ISBLANK(B2),,IF(AND(E2="Put",F2="S"),(T2/N2)/U2*365,IF(AND(E2="Call",F2="S"),(T2/(100*M2*K2))/U2*365, (T2/(L2*M2*100)/U2*365))))</calculatedColumnFormula>
    </tableColumn>
    <tableColumn id="24" xr3:uid="{6D184DA6-36E3-4A1A-94B3-0B97AC553EC8}" name="Margin Annualized ROR" dataDxfId="3">
      <calculatedColumnFormula>IF(ISBLANK(B2),,IF(AND(E2="Put",F2="S"),(T2/O2)/U2*365,"-----------"))</calculatedColumnFormula>
    </tableColumn>
    <tableColumn id="25" xr3:uid="{3AA62302-F975-40C4-B54E-95D8E68B8BCD}" name="Status" dataDxfId="2"/>
    <tableColumn id="26" xr3:uid="{CDA4D3F2-6352-4DD8-AFC5-DDE4360E81DB}" name="Account" dataDxfId="1"/>
    <tableColumn id="27" xr3:uid="{578B039B-FD55-4C40-9EA7-EE4ED8857CE1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14A6-3656-4224-AC96-8EB361689FED}">
  <dimension ref="A1:AA51"/>
  <sheetViews>
    <sheetView tabSelected="1" workbookViewId="0">
      <selection activeCell="O3" sqref="O3"/>
    </sheetView>
  </sheetViews>
  <sheetFormatPr defaultColWidth="12.5703125" defaultRowHeight="15" x14ac:dyDescent="0.25"/>
  <cols>
    <col min="1" max="1" width="7.5703125" customWidth="1"/>
    <col min="2" max="2" width="13.85546875" customWidth="1"/>
    <col min="3" max="3" width="11.140625" customWidth="1"/>
    <col min="4" max="4" width="9.7109375" customWidth="1"/>
    <col min="5" max="5" width="11.140625" customWidth="1"/>
    <col min="6" max="6" width="5.5703125" customWidth="1"/>
    <col min="7" max="7" width="15.7109375" customWidth="1"/>
    <col min="8" max="8" width="6" customWidth="1"/>
    <col min="9" max="9" width="18.5703125" customWidth="1"/>
    <col min="10" max="10" width="16.28515625" customWidth="1"/>
    <col min="11" max="11" width="12.28515625" customWidth="1"/>
    <col min="12" max="12" width="10.42578125" customWidth="1"/>
    <col min="13" max="13" width="6.7109375" customWidth="1"/>
    <col min="14" max="14" width="10.5703125" customWidth="1"/>
    <col min="15" max="15" width="24.140625" customWidth="1"/>
    <col min="16" max="16" width="21" customWidth="1"/>
    <col min="17" max="17" width="7" customWidth="1"/>
    <col min="18" max="18" width="10.28515625" customWidth="1"/>
    <col min="19" max="19" width="11.5703125" customWidth="1"/>
    <col min="20" max="20" width="11.85546875" customWidth="1"/>
    <col min="21" max="21" width="10.7109375" customWidth="1"/>
    <col min="22" max="22" width="16.5703125" customWidth="1"/>
    <col min="23" max="23" width="11" hidden="1" customWidth="1"/>
    <col min="24" max="24" width="10.7109375" hidden="1" customWidth="1"/>
    <col min="25" max="25" width="8.7109375" bestFit="1" customWidth="1"/>
    <col min="26" max="26" width="12" bestFit="1" customWidth="1"/>
    <col min="27" max="27" width="15" customWidth="1"/>
  </cols>
  <sheetData>
    <row r="1" spans="1:27" ht="56.25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</row>
    <row r="2" spans="1:27" x14ac:dyDescent="0.25">
      <c r="A2" s="14"/>
      <c r="B2" s="3" t="str" cm="1">
        <f t="array" ref="B2">IF(A2="", "",_FV( A2,"Ticker symbol",TRUE))</f>
        <v/>
      </c>
      <c r="C2" s="4"/>
      <c r="D2" s="4"/>
      <c r="E2" s="3"/>
      <c r="F2" s="3"/>
      <c r="G2" s="3"/>
      <c r="H2" s="5">
        <f t="shared" ref="H2:H51" ca="1" si="0">IF(ISBLANK(B2),,MAX(D2-TODAY(),0))</f>
        <v>0</v>
      </c>
      <c r="I2" s="6" t="str" cm="1">
        <f t="array" ref="I2">IF(A2="", "",_FV( A2,"Price"))</f>
        <v/>
      </c>
      <c r="J2" s="5">
        <f t="shared" ref="J2:J51" si="1">IF(ISBLANK(B2),,IF(E2="Put",K2-L2,K2+L2))</f>
        <v>0</v>
      </c>
      <c r="K2" s="3"/>
      <c r="L2" s="3"/>
      <c r="M2" s="3"/>
      <c r="N2" s="7" t="str">
        <f t="shared" ref="N2:N51" si="2">IF(ISBLANK(B2),,IF(F2="S",K2*100*M2,"---------"))</f>
        <v>---------</v>
      </c>
      <c r="O2" s="7" t="str">
        <f t="shared" ref="O2:O51" si="3">IF(ISBLANK(B2),,IF(AND(E2="Put",F2="S"),((0.25*G2)+L2+(K2-G2))*100*M2,"---------"))</f>
        <v>---------</v>
      </c>
      <c r="P2" s="3"/>
      <c r="Q2" s="3"/>
      <c r="R2" s="3"/>
      <c r="S2" s="4"/>
      <c r="T2" s="5">
        <f t="shared" ref="T2:T51" si="4">IF(ISBLANK(B2),,IF(F2="S",100*M2*(L2-R2)-Q2,100*M2*(R2-L2)-Q2))</f>
        <v>0</v>
      </c>
      <c r="U2" s="5">
        <f t="shared" ref="U2:U51" si="5">IF(ISBLANK(B2),,DATEDIF(C2,(IF(ISBLANK(S2),D2,S2)),"D"))</f>
        <v>0</v>
      </c>
      <c r="V2" s="8" t="str">
        <f t="shared" ref="V2:V51" si="6">IF(OR(ISBLANK(B2),ISBLANK(S2)),"-----------",IF(OR(F2="B",F2="C"),(T2)/(L2*M2*100),T2/N2))</f>
        <v>-----------</v>
      </c>
      <c r="W2" s="9" t="e">
        <f t="shared" ref="W2:W51" si="7">IF(ISBLANK(B2),,IF(AND(E2="Put",F2="S"),(T2/N2)/U2*365,IF(AND(E2="Call",F2="S"),(T2/(100*M2*K2))/U2*365, (T2/(L2*M2*100)/U2*365))))</f>
        <v>#DIV/0!</v>
      </c>
      <c r="X2" s="10" t="str">
        <f t="shared" ref="X2:X51" si="8">IF(ISBLANK(B2),,IF(AND(E2="Put",F2="S"),(T2/O2)/U2*365,"-----------"))</f>
        <v>-----------</v>
      </c>
      <c r="Y2" s="11"/>
      <c r="Z2" s="12"/>
    </row>
    <row r="3" spans="1:27" x14ac:dyDescent="0.25">
      <c r="A3" s="14"/>
      <c r="B3" s="3" t="str" cm="1">
        <f t="array" ref="B3">IF(A3="", "",_FV( A3,"Ticker symbol",TRUE))</f>
        <v/>
      </c>
      <c r="C3" s="4"/>
      <c r="D3" s="4"/>
      <c r="E3" s="3"/>
      <c r="F3" s="3"/>
      <c r="G3" s="3"/>
      <c r="H3" s="5">
        <f t="shared" ca="1" si="0"/>
        <v>0</v>
      </c>
      <c r="I3" s="6" t="str" cm="1">
        <f t="array" ref="I3">IF(A3="", "",_FV( A3,"Price"))</f>
        <v/>
      </c>
      <c r="J3" s="5">
        <f t="shared" si="1"/>
        <v>0</v>
      </c>
      <c r="K3" s="3"/>
      <c r="L3" s="3"/>
      <c r="M3" s="3"/>
      <c r="N3" s="7" t="str">
        <f t="shared" si="2"/>
        <v>---------</v>
      </c>
      <c r="O3" s="7" t="str">
        <f t="shared" si="3"/>
        <v>---------</v>
      </c>
      <c r="P3" s="3"/>
      <c r="Q3" s="3"/>
      <c r="R3" s="3"/>
      <c r="S3" s="4"/>
      <c r="T3" s="5">
        <f t="shared" si="4"/>
        <v>0</v>
      </c>
      <c r="U3" s="5">
        <f t="shared" si="5"/>
        <v>0</v>
      </c>
      <c r="V3" s="8" t="str">
        <f t="shared" si="6"/>
        <v>-----------</v>
      </c>
      <c r="W3" s="9" t="e">
        <f t="shared" si="7"/>
        <v>#DIV/0!</v>
      </c>
      <c r="X3" s="10" t="str">
        <f t="shared" si="8"/>
        <v>-----------</v>
      </c>
      <c r="Y3" s="11"/>
      <c r="Z3" s="12"/>
    </row>
    <row r="4" spans="1:27" x14ac:dyDescent="0.25">
      <c r="A4" s="14"/>
      <c r="B4" s="3" t="str" cm="1">
        <f t="array" ref="B4">IF(A4="", "",_FV( A4,"Ticker symbol",TRUE))</f>
        <v/>
      </c>
      <c r="C4" s="4"/>
      <c r="D4" s="4"/>
      <c r="E4" s="3"/>
      <c r="F4" s="3"/>
      <c r="G4" s="3"/>
      <c r="H4" s="5">
        <f t="shared" ca="1" si="0"/>
        <v>0</v>
      </c>
      <c r="I4" s="6" t="str" cm="1">
        <f t="array" ref="I4">IF(A4="", "",_FV( A4,"Price"))</f>
        <v/>
      </c>
      <c r="J4" s="5">
        <f t="shared" si="1"/>
        <v>0</v>
      </c>
      <c r="K4" s="3"/>
      <c r="L4" s="3"/>
      <c r="M4" s="3"/>
      <c r="N4" s="7" t="str">
        <f t="shared" si="2"/>
        <v>---------</v>
      </c>
      <c r="O4" s="7" t="str">
        <f t="shared" si="3"/>
        <v>---------</v>
      </c>
      <c r="P4" s="3"/>
      <c r="Q4" s="3"/>
      <c r="R4" s="3"/>
      <c r="S4" s="4"/>
      <c r="T4" s="5">
        <f t="shared" si="4"/>
        <v>0</v>
      </c>
      <c r="U4" s="5">
        <f t="shared" si="5"/>
        <v>0</v>
      </c>
      <c r="V4" s="8" t="str">
        <f t="shared" si="6"/>
        <v>-----------</v>
      </c>
      <c r="W4" s="9" t="e">
        <f t="shared" si="7"/>
        <v>#DIV/0!</v>
      </c>
      <c r="X4" s="10" t="str">
        <f t="shared" si="8"/>
        <v>-----------</v>
      </c>
      <c r="Y4" s="11"/>
      <c r="Z4" s="12"/>
    </row>
    <row r="5" spans="1:27" x14ac:dyDescent="0.25">
      <c r="A5" s="14"/>
      <c r="B5" s="3" t="str" cm="1">
        <f t="array" ref="B5">IF(A5="", "",_FV( A5,"Ticker symbol",TRUE))</f>
        <v/>
      </c>
      <c r="C5" s="4"/>
      <c r="D5" s="4"/>
      <c r="E5" s="3"/>
      <c r="F5" s="3"/>
      <c r="G5" s="3"/>
      <c r="H5" s="5">
        <f t="shared" ca="1" si="0"/>
        <v>0</v>
      </c>
      <c r="I5" s="6" t="str" cm="1">
        <f t="array" ref="I5">IF(A5="", "",_FV( A5,"Price"))</f>
        <v/>
      </c>
      <c r="J5" s="5">
        <f t="shared" si="1"/>
        <v>0</v>
      </c>
      <c r="K5" s="3"/>
      <c r="L5" s="3"/>
      <c r="M5" s="3"/>
      <c r="N5" s="7" t="str">
        <f t="shared" si="2"/>
        <v>---------</v>
      </c>
      <c r="O5" s="7" t="str">
        <f t="shared" si="3"/>
        <v>---------</v>
      </c>
      <c r="P5" s="3"/>
      <c r="Q5" s="3"/>
      <c r="R5" s="3"/>
      <c r="S5" s="4"/>
      <c r="T5" s="5">
        <f t="shared" si="4"/>
        <v>0</v>
      </c>
      <c r="U5" s="5">
        <f t="shared" si="5"/>
        <v>0</v>
      </c>
      <c r="V5" s="8" t="str">
        <f t="shared" si="6"/>
        <v>-----------</v>
      </c>
      <c r="W5" s="9" t="e">
        <f t="shared" si="7"/>
        <v>#DIV/0!</v>
      </c>
      <c r="X5" s="10" t="str">
        <f t="shared" si="8"/>
        <v>-----------</v>
      </c>
      <c r="Y5" s="11"/>
      <c r="Z5" s="12"/>
    </row>
    <row r="6" spans="1:27" x14ac:dyDescent="0.25">
      <c r="A6" s="14"/>
      <c r="B6" s="3" t="str" cm="1">
        <f t="array" ref="B6">IF(A6="", "",_FV( A6,"Ticker symbol",TRUE))</f>
        <v/>
      </c>
      <c r="C6" s="4"/>
      <c r="D6" s="4"/>
      <c r="E6" s="3"/>
      <c r="F6" s="3"/>
      <c r="G6" s="3"/>
      <c r="H6" s="5">
        <f t="shared" ca="1" si="0"/>
        <v>0</v>
      </c>
      <c r="I6" s="6" t="str" cm="1">
        <f t="array" ref="I6">IF(A6="", "",_FV( A6,"Price"))</f>
        <v/>
      </c>
      <c r="J6" s="5">
        <f t="shared" si="1"/>
        <v>0</v>
      </c>
      <c r="K6" s="3"/>
      <c r="L6" s="3"/>
      <c r="M6" s="3"/>
      <c r="N6" s="7" t="str">
        <f t="shared" si="2"/>
        <v>---------</v>
      </c>
      <c r="O6" s="7" t="str">
        <f t="shared" si="3"/>
        <v>---------</v>
      </c>
      <c r="P6" s="3"/>
      <c r="Q6" s="3"/>
      <c r="R6" s="3"/>
      <c r="S6" s="4"/>
      <c r="T6" s="5">
        <f t="shared" si="4"/>
        <v>0</v>
      </c>
      <c r="U6" s="5">
        <f t="shared" si="5"/>
        <v>0</v>
      </c>
      <c r="V6" s="8" t="str">
        <f t="shared" si="6"/>
        <v>-----------</v>
      </c>
      <c r="W6" s="9" t="e">
        <f t="shared" si="7"/>
        <v>#DIV/0!</v>
      </c>
      <c r="X6" s="10" t="str">
        <f t="shared" si="8"/>
        <v>-----------</v>
      </c>
      <c r="Y6" s="11"/>
      <c r="Z6" s="12"/>
    </row>
    <row r="7" spans="1:27" x14ac:dyDescent="0.25">
      <c r="A7" s="14"/>
      <c r="B7" s="3" t="str" cm="1">
        <f t="array" ref="B7">IF(A7="", "",_FV( A7,"Ticker symbol",TRUE))</f>
        <v/>
      </c>
      <c r="C7" s="4"/>
      <c r="D7" s="4"/>
      <c r="E7" s="3"/>
      <c r="F7" s="3"/>
      <c r="G7" s="3"/>
      <c r="H7" s="5">
        <f t="shared" ca="1" si="0"/>
        <v>0</v>
      </c>
      <c r="I7" s="6" t="str" cm="1">
        <f t="array" ref="I7">IF(A7="", "",_FV( A7,"Price"))</f>
        <v/>
      </c>
      <c r="J7" s="5">
        <f t="shared" si="1"/>
        <v>0</v>
      </c>
      <c r="K7" s="3"/>
      <c r="L7" s="3"/>
      <c r="M7" s="3"/>
      <c r="N7" s="7" t="str">
        <f t="shared" si="2"/>
        <v>---------</v>
      </c>
      <c r="O7" s="7" t="str">
        <f t="shared" si="3"/>
        <v>---------</v>
      </c>
      <c r="P7" s="3"/>
      <c r="Q7" s="3"/>
      <c r="R7" s="3"/>
      <c r="S7" s="4"/>
      <c r="T7" s="5">
        <f t="shared" si="4"/>
        <v>0</v>
      </c>
      <c r="U7" s="5">
        <f t="shared" si="5"/>
        <v>0</v>
      </c>
      <c r="V7" s="8" t="str">
        <f t="shared" si="6"/>
        <v>-----------</v>
      </c>
      <c r="W7" s="9" t="e">
        <f t="shared" si="7"/>
        <v>#DIV/0!</v>
      </c>
      <c r="X7" s="10" t="str">
        <f t="shared" si="8"/>
        <v>-----------</v>
      </c>
      <c r="Y7" s="11"/>
      <c r="Z7" s="12"/>
    </row>
    <row r="8" spans="1:27" x14ac:dyDescent="0.25">
      <c r="A8" s="14"/>
      <c r="B8" s="3" t="str" cm="1">
        <f t="array" ref="B8">IF(A8="", "",_FV( A8,"Ticker symbol",TRUE))</f>
        <v/>
      </c>
      <c r="C8" s="4"/>
      <c r="D8" s="4"/>
      <c r="E8" s="3"/>
      <c r="F8" s="3"/>
      <c r="G8" s="3"/>
      <c r="H8" s="5">
        <f t="shared" ca="1" si="0"/>
        <v>0</v>
      </c>
      <c r="I8" s="6" t="str" cm="1">
        <f t="array" ref="I8">IF(A8="", "",_FV( A8,"Price"))</f>
        <v/>
      </c>
      <c r="J8" s="5">
        <f t="shared" si="1"/>
        <v>0</v>
      </c>
      <c r="K8" s="3"/>
      <c r="L8" s="3"/>
      <c r="M8" s="3"/>
      <c r="N8" s="7" t="str">
        <f t="shared" si="2"/>
        <v>---------</v>
      </c>
      <c r="O8" s="7" t="str">
        <f t="shared" si="3"/>
        <v>---------</v>
      </c>
      <c r="P8" s="3"/>
      <c r="Q8" s="3"/>
      <c r="R8" s="3"/>
      <c r="S8" s="4"/>
      <c r="T8" s="5">
        <f t="shared" si="4"/>
        <v>0</v>
      </c>
      <c r="U8" s="5">
        <f t="shared" si="5"/>
        <v>0</v>
      </c>
      <c r="V8" s="8" t="str">
        <f t="shared" si="6"/>
        <v>-----------</v>
      </c>
      <c r="W8" s="9" t="e">
        <f t="shared" si="7"/>
        <v>#DIV/0!</v>
      </c>
      <c r="X8" s="10" t="str">
        <f t="shared" si="8"/>
        <v>-----------</v>
      </c>
      <c r="Y8" s="11"/>
      <c r="Z8" s="12"/>
    </row>
    <row r="9" spans="1:27" x14ac:dyDescent="0.25">
      <c r="A9" s="14"/>
      <c r="B9" s="3" t="str" cm="1">
        <f t="array" ref="B9">IF(A9="", "",_FV( A9,"Ticker symbol",TRUE))</f>
        <v/>
      </c>
      <c r="C9" s="4"/>
      <c r="D9" s="4"/>
      <c r="E9" s="3"/>
      <c r="F9" s="3"/>
      <c r="G9" s="3"/>
      <c r="H9" s="5">
        <f t="shared" ca="1" si="0"/>
        <v>0</v>
      </c>
      <c r="I9" s="6" t="str" cm="1">
        <f t="array" ref="I9">IF(A9="", "",_FV( A9,"Price"))</f>
        <v/>
      </c>
      <c r="J9" s="5">
        <f t="shared" si="1"/>
        <v>0</v>
      </c>
      <c r="K9" s="3"/>
      <c r="L9" s="3"/>
      <c r="M9" s="3"/>
      <c r="N9" s="7" t="str">
        <f t="shared" si="2"/>
        <v>---------</v>
      </c>
      <c r="O9" s="7" t="str">
        <f t="shared" si="3"/>
        <v>---------</v>
      </c>
      <c r="P9" s="3"/>
      <c r="Q9" s="3"/>
      <c r="R9" s="3"/>
      <c r="S9" s="4"/>
      <c r="T9" s="5">
        <f t="shared" si="4"/>
        <v>0</v>
      </c>
      <c r="U9" s="5">
        <f t="shared" si="5"/>
        <v>0</v>
      </c>
      <c r="V9" s="8" t="str">
        <f t="shared" si="6"/>
        <v>-----------</v>
      </c>
      <c r="W9" s="9" t="e">
        <f t="shared" si="7"/>
        <v>#DIV/0!</v>
      </c>
      <c r="X9" s="10" t="str">
        <f t="shared" si="8"/>
        <v>-----------</v>
      </c>
      <c r="Y9" s="11"/>
      <c r="Z9" s="12"/>
    </row>
    <row r="10" spans="1:27" x14ac:dyDescent="0.25">
      <c r="A10" s="14"/>
      <c r="B10" s="3" t="str" cm="1">
        <f t="array" ref="B10">IF(A10="", "",_FV( A10,"Ticker symbol",TRUE))</f>
        <v/>
      </c>
      <c r="C10" s="4"/>
      <c r="D10" s="4"/>
      <c r="E10" s="3"/>
      <c r="F10" s="3"/>
      <c r="G10" s="3"/>
      <c r="H10" s="5">
        <f t="shared" ca="1" si="0"/>
        <v>0</v>
      </c>
      <c r="I10" s="6" t="str" cm="1">
        <f t="array" ref="I10">IF(A10="", "",_FV( A10,"Price"))</f>
        <v/>
      </c>
      <c r="J10" s="5">
        <f t="shared" si="1"/>
        <v>0</v>
      </c>
      <c r="K10" s="3"/>
      <c r="L10" s="3"/>
      <c r="M10" s="3"/>
      <c r="N10" s="7" t="str">
        <f t="shared" si="2"/>
        <v>---------</v>
      </c>
      <c r="O10" s="7" t="str">
        <f t="shared" si="3"/>
        <v>---------</v>
      </c>
      <c r="P10" s="3"/>
      <c r="Q10" s="3"/>
      <c r="R10" s="3"/>
      <c r="S10" s="4"/>
      <c r="T10" s="5">
        <f t="shared" si="4"/>
        <v>0</v>
      </c>
      <c r="U10" s="5">
        <f t="shared" si="5"/>
        <v>0</v>
      </c>
      <c r="V10" s="8" t="str">
        <f t="shared" si="6"/>
        <v>-----------</v>
      </c>
      <c r="W10" s="9" t="e">
        <f t="shared" si="7"/>
        <v>#DIV/0!</v>
      </c>
      <c r="X10" s="10" t="str">
        <f t="shared" si="8"/>
        <v>-----------</v>
      </c>
      <c r="Y10" s="11"/>
      <c r="Z10" s="12"/>
    </row>
    <row r="11" spans="1:27" x14ac:dyDescent="0.25">
      <c r="A11" s="14"/>
      <c r="B11" s="3" t="str" cm="1">
        <f t="array" ref="B11">IF(A11="", "",_FV( A11,"Ticker symbol",TRUE))</f>
        <v/>
      </c>
      <c r="C11" s="4"/>
      <c r="D11" s="4"/>
      <c r="E11" s="3"/>
      <c r="F11" s="3"/>
      <c r="G11" s="3"/>
      <c r="H11" s="5">
        <f t="shared" ca="1" si="0"/>
        <v>0</v>
      </c>
      <c r="I11" s="6" t="str" cm="1">
        <f t="array" ref="I11">IF(A11="", "",_FV( A11,"Price"))</f>
        <v/>
      </c>
      <c r="J11" s="5">
        <f t="shared" si="1"/>
        <v>0</v>
      </c>
      <c r="K11" s="3"/>
      <c r="L11" s="3"/>
      <c r="M11" s="3"/>
      <c r="N11" s="7" t="str">
        <f t="shared" si="2"/>
        <v>---------</v>
      </c>
      <c r="O11" s="7" t="str">
        <f t="shared" si="3"/>
        <v>---------</v>
      </c>
      <c r="P11" s="3"/>
      <c r="Q11" s="3"/>
      <c r="R11" s="3"/>
      <c r="S11" s="4"/>
      <c r="T11" s="5">
        <f t="shared" si="4"/>
        <v>0</v>
      </c>
      <c r="U11" s="5">
        <f t="shared" si="5"/>
        <v>0</v>
      </c>
      <c r="V11" s="8" t="str">
        <f t="shared" si="6"/>
        <v>-----------</v>
      </c>
      <c r="W11" s="9" t="e">
        <f t="shared" si="7"/>
        <v>#DIV/0!</v>
      </c>
      <c r="X11" s="10" t="str">
        <f t="shared" si="8"/>
        <v>-----------</v>
      </c>
      <c r="Y11" s="11"/>
      <c r="Z11" s="12"/>
    </row>
    <row r="12" spans="1:27" x14ac:dyDescent="0.25">
      <c r="A12" s="14"/>
      <c r="B12" s="3" t="str" cm="1">
        <f t="array" ref="B12">IF(A12="", "",_FV( A12,"Ticker symbol",TRUE))</f>
        <v/>
      </c>
      <c r="C12" s="4"/>
      <c r="D12" s="4"/>
      <c r="E12" s="3"/>
      <c r="F12" s="3"/>
      <c r="G12" s="3"/>
      <c r="H12" s="5">
        <f t="shared" ca="1" si="0"/>
        <v>0</v>
      </c>
      <c r="I12" s="6" t="str" cm="1">
        <f t="array" ref="I12">IF(A12="", "",_FV( A12,"Price"))</f>
        <v/>
      </c>
      <c r="J12" s="5">
        <f t="shared" si="1"/>
        <v>0</v>
      </c>
      <c r="K12" s="3"/>
      <c r="L12" s="3"/>
      <c r="M12" s="3"/>
      <c r="N12" s="7" t="str">
        <f t="shared" si="2"/>
        <v>---------</v>
      </c>
      <c r="O12" s="7" t="str">
        <f t="shared" si="3"/>
        <v>---------</v>
      </c>
      <c r="P12" s="3"/>
      <c r="Q12" s="3"/>
      <c r="R12" s="3"/>
      <c r="S12" s="4"/>
      <c r="T12" s="5">
        <f t="shared" si="4"/>
        <v>0</v>
      </c>
      <c r="U12" s="5">
        <f t="shared" si="5"/>
        <v>0</v>
      </c>
      <c r="V12" s="8" t="str">
        <f t="shared" si="6"/>
        <v>-----------</v>
      </c>
      <c r="W12" s="9" t="e">
        <f t="shared" si="7"/>
        <v>#DIV/0!</v>
      </c>
      <c r="X12" s="10" t="str">
        <f t="shared" si="8"/>
        <v>-----------</v>
      </c>
      <c r="Y12" s="11"/>
      <c r="Z12" s="12"/>
    </row>
    <row r="13" spans="1:27" x14ac:dyDescent="0.25">
      <c r="A13" s="14"/>
      <c r="B13" s="3" t="str" cm="1">
        <f t="array" ref="B13">IF(A13="", "",_FV( A13,"Ticker symbol",TRUE))</f>
        <v/>
      </c>
      <c r="C13" s="4"/>
      <c r="D13" s="4"/>
      <c r="E13" s="3"/>
      <c r="F13" s="3"/>
      <c r="G13" s="3"/>
      <c r="H13" s="5">
        <f t="shared" ca="1" si="0"/>
        <v>0</v>
      </c>
      <c r="I13" s="6" t="str" cm="1">
        <f t="array" ref="I13">IF(A13="", "",_FV( A13,"Price"))</f>
        <v/>
      </c>
      <c r="J13" s="5">
        <f t="shared" si="1"/>
        <v>0</v>
      </c>
      <c r="K13" s="3"/>
      <c r="L13" s="3"/>
      <c r="M13" s="3"/>
      <c r="N13" s="7" t="str">
        <f t="shared" si="2"/>
        <v>---------</v>
      </c>
      <c r="O13" s="7" t="str">
        <f t="shared" si="3"/>
        <v>---------</v>
      </c>
      <c r="P13" s="3"/>
      <c r="Q13" s="3"/>
      <c r="R13" s="3"/>
      <c r="S13" s="4"/>
      <c r="T13" s="5">
        <f t="shared" si="4"/>
        <v>0</v>
      </c>
      <c r="U13" s="5">
        <f t="shared" si="5"/>
        <v>0</v>
      </c>
      <c r="V13" s="8" t="str">
        <f t="shared" si="6"/>
        <v>-----------</v>
      </c>
      <c r="W13" s="9" t="e">
        <f t="shared" si="7"/>
        <v>#DIV/0!</v>
      </c>
      <c r="X13" s="10" t="str">
        <f t="shared" si="8"/>
        <v>-----------</v>
      </c>
      <c r="Y13" s="11"/>
      <c r="Z13" s="12"/>
    </row>
    <row r="14" spans="1:27" x14ac:dyDescent="0.25">
      <c r="A14" s="14"/>
      <c r="B14" s="3" t="str" cm="1">
        <f t="array" ref="B14">IF(A14="", "",_FV( A14,"Ticker symbol",TRUE))</f>
        <v/>
      </c>
      <c r="C14" s="4"/>
      <c r="D14" s="4"/>
      <c r="E14" s="3"/>
      <c r="F14" s="3"/>
      <c r="G14" s="3"/>
      <c r="H14" s="5">
        <f t="shared" ca="1" si="0"/>
        <v>0</v>
      </c>
      <c r="I14" s="6" t="str" cm="1">
        <f t="array" ref="I14">IF(A14="", "",_FV( A14,"Price"))</f>
        <v/>
      </c>
      <c r="J14" s="5">
        <f t="shared" si="1"/>
        <v>0</v>
      </c>
      <c r="K14" s="3"/>
      <c r="L14" s="3"/>
      <c r="M14" s="3"/>
      <c r="N14" s="7" t="str">
        <f t="shared" si="2"/>
        <v>---------</v>
      </c>
      <c r="O14" s="7" t="str">
        <f t="shared" si="3"/>
        <v>---------</v>
      </c>
      <c r="P14" s="3"/>
      <c r="Q14" s="3"/>
      <c r="R14" s="3"/>
      <c r="S14" s="4"/>
      <c r="T14" s="5">
        <f t="shared" si="4"/>
        <v>0</v>
      </c>
      <c r="U14" s="5">
        <f t="shared" si="5"/>
        <v>0</v>
      </c>
      <c r="V14" s="8" t="str">
        <f t="shared" si="6"/>
        <v>-----------</v>
      </c>
      <c r="W14" s="9" t="e">
        <f t="shared" si="7"/>
        <v>#DIV/0!</v>
      </c>
      <c r="X14" s="10" t="str">
        <f t="shared" si="8"/>
        <v>-----------</v>
      </c>
      <c r="Y14" s="11"/>
      <c r="Z14" s="12"/>
    </row>
    <row r="15" spans="1:27" x14ac:dyDescent="0.25">
      <c r="A15" s="14"/>
      <c r="B15" s="3" t="str" cm="1">
        <f t="array" ref="B15">IF(A15="", "",_FV( A15,"Ticker symbol",TRUE))</f>
        <v/>
      </c>
      <c r="C15" s="4"/>
      <c r="D15" s="4"/>
      <c r="E15" s="3"/>
      <c r="F15" s="3"/>
      <c r="G15" s="3"/>
      <c r="H15" s="5">
        <f t="shared" ca="1" si="0"/>
        <v>0</v>
      </c>
      <c r="I15" s="6" t="str" cm="1">
        <f t="array" ref="I15">IF(A15="", "",_FV( A15,"Price"))</f>
        <v/>
      </c>
      <c r="J15" s="5">
        <f t="shared" si="1"/>
        <v>0</v>
      </c>
      <c r="K15" s="3"/>
      <c r="L15" s="3"/>
      <c r="M15" s="3"/>
      <c r="N15" s="7" t="str">
        <f t="shared" si="2"/>
        <v>---------</v>
      </c>
      <c r="O15" s="7" t="str">
        <f t="shared" si="3"/>
        <v>---------</v>
      </c>
      <c r="P15" s="3"/>
      <c r="Q15" s="3"/>
      <c r="R15" s="3"/>
      <c r="S15" s="4"/>
      <c r="T15" s="5">
        <f t="shared" si="4"/>
        <v>0</v>
      </c>
      <c r="U15" s="5">
        <f t="shared" si="5"/>
        <v>0</v>
      </c>
      <c r="V15" s="8" t="str">
        <f t="shared" si="6"/>
        <v>-----------</v>
      </c>
      <c r="W15" s="9" t="e">
        <f t="shared" si="7"/>
        <v>#DIV/0!</v>
      </c>
      <c r="X15" s="10" t="str">
        <f t="shared" si="8"/>
        <v>-----------</v>
      </c>
      <c r="Y15" s="11"/>
      <c r="Z15" s="12"/>
    </row>
    <row r="16" spans="1:27" x14ac:dyDescent="0.25">
      <c r="A16" s="14"/>
      <c r="B16" s="3" t="str" cm="1">
        <f t="array" ref="B16">IF(A16="", "",_FV( A16,"Ticker symbol",TRUE))</f>
        <v/>
      </c>
      <c r="C16" s="4"/>
      <c r="D16" s="4"/>
      <c r="E16" s="3"/>
      <c r="F16" s="3"/>
      <c r="G16" s="3"/>
      <c r="H16" s="5">
        <f t="shared" ca="1" si="0"/>
        <v>0</v>
      </c>
      <c r="I16" s="6" t="str" cm="1">
        <f t="array" ref="I16">IF(A16="", "",_FV( A16,"Price"))</f>
        <v/>
      </c>
      <c r="J16" s="5">
        <f t="shared" si="1"/>
        <v>0</v>
      </c>
      <c r="K16" s="3"/>
      <c r="L16" s="3"/>
      <c r="M16" s="3"/>
      <c r="N16" s="7" t="str">
        <f t="shared" si="2"/>
        <v>---------</v>
      </c>
      <c r="O16" s="7" t="str">
        <f t="shared" si="3"/>
        <v>---------</v>
      </c>
      <c r="P16" s="3"/>
      <c r="Q16" s="3"/>
      <c r="R16" s="3"/>
      <c r="S16" s="4"/>
      <c r="T16" s="5">
        <f t="shared" si="4"/>
        <v>0</v>
      </c>
      <c r="U16" s="5">
        <f t="shared" si="5"/>
        <v>0</v>
      </c>
      <c r="V16" s="8" t="str">
        <f t="shared" si="6"/>
        <v>-----------</v>
      </c>
      <c r="W16" s="9" t="e">
        <f t="shared" si="7"/>
        <v>#DIV/0!</v>
      </c>
      <c r="X16" s="10" t="str">
        <f t="shared" si="8"/>
        <v>-----------</v>
      </c>
      <c r="Y16" s="11"/>
      <c r="Z16" s="12"/>
    </row>
    <row r="17" spans="1:26" x14ac:dyDescent="0.25">
      <c r="A17" s="14"/>
      <c r="B17" s="3" t="str" cm="1">
        <f t="array" ref="B17">IF(A17="", "",_FV( A17,"Ticker symbol",TRUE))</f>
        <v/>
      </c>
      <c r="C17" s="4"/>
      <c r="D17" s="4"/>
      <c r="E17" s="3"/>
      <c r="F17" s="3"/>
      <c r="G17" s="3"/>
      <c r="H17" s="5">
        <f t="shared" ca="1" si="0"/>
        <v>0</v>
      </c>
      <c r="I17" s="6" t="str" cm="1">
        <f t="array" ref="I17">IF(A17="", "",_FV( A17,"Price"))</f>
        <v/>
      </c>
      <c r="J17" s="5">
        <f t="shared" si="1"/>
        <v>0</v>
      </c>
      <c r="K17" s="3"/>
      <c r="L17" s="3"/>
      <c r="M17" s="3"/>
      <c r="N17" s="7" t="str">
        <f t="shared" si="2"/>
        <v>---------</v>
      </c>
      <c r="O17" s="7" t="str">
        <f t="shared" si="3"/>
        <v>---------</v>
      </c>
      <c r="P17" s="3"/>
      <c r="Q17" s="3"/>
      <c r="R17" s="3"/>
      <c r="S17" s="4"/>
      <c r="T17" s="5">
        <f t="shared" si="4"/>
        <v>0</v>
      </c>
      <c r="U17" s="5">
        <f t="shared" si="5"/>
        <v>0</v>
      </c>
      <c r="V17" s="8" t="str">
        <f t="shared" si="6"/>
        <v>-----------</v>
      </c>
      <c r="W17" s="9" t="e">
        <f t="shared" si="7"/>
        <v>#DIV/0!</v>
      </c>
      <c r="X17" s="10" t="str">
        <f t="shared" si="8"/>
        <v>-----------</v>
      </c>
      <c r="Y17" s="11"/>
      <c r="Z17" s="12"/>
    </row>
    <row r="18" spans="1:26" x14ac:dyDescent="0.25">
      <c r="A18" s="14"/>
      <c r="B18" s="3" t="str" cm="1">
        <f t="array" ref="B18">IF(A18="", "",_FV( A18,"Ticker symbol",TRUE))</f>
        <v/>
      </c>
      <c r="C18" s="4"/>
      <c r="D18" s="4"/>
      <c r="E18" s="3"/>
      <c r="F18" s="3"/>
      <c r="G18" s="3"/>
      <c r="H18" s="5">
        <f t="shared" ca="1" si="0"/>
        <v>0</v>
      </c>
      <c r="I18" s="6" t="str" cm="1">
        <f t="array" ref="I18">IF(A18="", "",_FV( A18,"Price"))</f>
        <v/>
      </c>
      <c r="J18" s="5">
        <f t="shared" si="1"/>
        <v>0</v>
      </c>
      <c r="K18" s="3"/>
      <c r="L18" s="3"/>
      <c r="M18" s="3"/>
      <c r="N18" s="7" t="str">
        <f t="shared" si="2"/>
        <v>---------</v>
      </c>
      <c r="O18" s="7" t="str">
        <f t="shared" si="3"/>
        <v>---------</v>
      </c>
      <c r="P18" s="3"/>
      <c r="Q18" s="3"/>
      <c r="R18" s="3"/>
      <c r="S18" s="4"/>
      <c r="T18" s="5">
        <f t="shared" si="4"/>
        <v>0</v>
      </c>
      <c r="U18" s="5">
        <f t="shared" si="5"/>
        <v>0</v>
      </c>
      <c r="V18" s="8" t="str">
        <f t="shared" si="6"/>
        <v>-----------</v>
      </c>
      <c r="W18" s="9" t="e">
        <f t="shared" si="7"/>
        <v>#DIV/0!</v>
      </c>
      <c r="X18" s="10" t="str">
        <f t="shared" si="8"/>
        <v>-----------</v>
      </c>
      <c r="Y18" s="11"/>
      <c r="Z18" s="12"/>
    </row>
    <row r="19" spans="1:26" x14ac:dyDescent="0.25">
      <c r="A19" s="14"/>
      <c r="B19" s="3" t="str" cm="1">
        <f t="array" ref="B19">IF(A19="", "",_FV( A19,"Ticker symbol",TRUE))</f>
        <v/>
      </c>
      <c r="C19" s="4"/>
      <c r="D19" s="4"/>
      <c r="E19" s="3"/>
      <c r="F19" s="3"/>
      <c r="G19" s="3"/>
      <c r="H19" s="5">
        <f t="shared" ca="1" si="0"/>
        <v>0</v>
      </c>
      <c r="I19" s="6" t="str" cm="1">
        <f t="array" ref="I19">IF(A19="", "",_FV( A19,"Price"))</f>
        <v/>
      </c>
      <c r="J19" s="5">
        <f t="shared" si="1"/>
        <v>0</v>
      </c>
      <c r="K19" s="3"/>
      <c r="L19" s="3"/>
      <c r="M19" s="3"/>
      <c r="N19" s="7" t="str">
        <f t="shared" si="2"/>
        <v>---------</v>
      </c>
      <c r="O19" s="7" t="str">
        <f t="shared" si="3"/>
        <v>---------</v>
      </c>
      <c r="P19" s="3"/>
      <c r="Q19" s="3"/>
      <c r="R19" s="3"/>
      <c r="S19" s="4"/>
      <c r="T19" s="5">
        <f t="shared" si="4"/>
        <v>0</v>
      </c>
      <c r="U19" s="5">
        <f t="shared" si="5"/>
        <v>0</v>
      </c>
      <c r="V19" s="8" t="str">
        <f t="shared" si="6"/>
        <v>-----------</v>
      </c>
      <c r="W19" s="9" t="e">
        <f t="shared" si="7"/>
        <v>#DIV/0!</v>
      </c>
      <c r="X19" s="10" t="str">
        <f t="shared" si="8"/>
        <v>-----------</v>
      </c>
      <c r="Y19" s="11"/>
      <c r="Z19" s="12"/>
    </row>
    <row r="20" spans="1:26" x14ac:dyDescent="0.25">
      <c r="A20" s="14"/>
      <c r="B20" s="3" t="str" cm="1">
        <f t="array" ref="B20">IF(A20="", "",_FV( A20,"Ticker symbol",TRUE))</f>
        <v/>
      </c>
      <c r="C20" s="4"/>
      <c r="D20" s="4"/>
      <c r="E20" s="3"/>
      <c r="F20" s="3"/>
      <c r="G20" s="3"/>
      <c r="H20" s="5">
        <f t="shared" ca="1" si="0"/>
        <v>0</v>
      </c>
      <c r="I20" s="6" t="str" cm="1">
        <f t="array" ref="I20">IF(A20="", "",_FV( A20,"Price"))</f>
        <v/>
      </c>
      <c r="J20" s="5">
        <f t="shared" si="1"/>
        <v>0</v>
      </c>
      <c r="K20" s="3"/>
      <c r="L20" s="3"/>
      <c r="M20" s="3"/>
      <c r="N20" s="7" t="str">
        <f t="shared" si="2"/>
        <v>---------</v>
      </c>
      <c r="O20" s="7" t="str">
        <f t="shared" si="3"/>
        <v>---------</v>
      </c>
      <c r="P20" s="3"/>
      <c r="Q20" s="3"/>
      <c r="R20" s="3"/>
      <c r="S20" s="4"/>
      <c r="T20" s="5">
        <f t="shared" si="4"/>
        <v>0</v>
      </c>
      <c r="U20" s="5">
        <f t="shared" si="5"/>
        <v>0</v>
      </c>
      <c r="V20" s="8" t="str">
        <f t="shared" si="6"/>
        <v>-----------</v>
      </c>
      <c r="W20" s="9" t="e">
        <f t="shared" si="7"/>
        <v>#DIV/0!</v>
      </c>
      <c r="X20" s="10" t="str">
        <f t="shared" si="8"/>
        <v>-----------</v>
      </c>
      <c r="Y20" s="11"/>
      <c r="Z20" s="12"/>
    </row>
    <row r="21" spans="1:26" x14ac:dyDescent="0.25">
      <c r="A21" s="14"/>
      <c r="B21" s="3" t="str" cm="1">
        <f t="array" ref="B21">IF(A21="", "",_FV( A21,"Ticker symbol",TRUE))</f>
        <v/>
      </c>
      <c r="C21" s="4"/>
      <c r="D21" s="4"/>
      <c r="E21" s="3"/>
      <c r="F21" s="3"/>
      <c r="G21" s="3"/>
      <c r="H21" s="5">
        <f t="shared" ca="1" si="0"/>
        <v>0</v>
      </c>
      <c r="I21" s="6" t="str" cm="1">
        <f t="array" ref="I21">IF(A21="", "",_FV( A21,"Price"))</f>
        <v/>
      </c>
      <c r="J21" s="5">
        <f t="shared" si="1"/>
        <v>0</v>
      </c>
      <c r="K21" s="3"/>
      <c r="L21" s="3"/>
      <c r="M21" s="3"/>
      <c r="N21" s="7" t="str">
        <f t="shared" si="2"/>
        <v>---------</v>
      </c>
      <c r="O21" s="7" t="str">
        <f t="shared" si="3"/>
        <v>---------</v>
      </c>
      <c r="P21" s="3"/>
      <c r="Q21" s="3"/>
      <c r="R21" s="3"/>
      <c r="S21" s="4"/>
      <c r="T21" s="5">
        <f t="shared" si="4"/>
        <v>0</v>
      </c>
      <c r="U21" s="5">
        <f t="shared" si="5"/>
        <v>0</v>
      </c>
      <c r="V21" s="8" t="str">
        <f t="shared" si="6"/>
        <v>-----------</v>
      </c>
      <c r="W21" s="9" t="e">
        <f t="shared" si="7"/>
        <v>#DIV/0!</v>
      </c>
      <c r="X21" s="10" t="str">
        <f t="shared" si="8"/>
        <v>-----------</v>
      </c>
      <c r="Y21" s="11"/>
      <c r="Z21" s="12"/>
    </row>
    <row r="22" spans="1:26" x14ac:dyDescent="0.25">
      <c r="A22" s="14"/>
      <c r="B22" s="3" t="str" cm="1">
        <f t="array" ref="B22">IF(A22="", "",_FV( A22,"Ticker symbol",TRUE))</f>
        <v/>
      </c>
      <c r="C22" s="4"/>
      <c r="D22" s="4"/>
      <c r="E22" s="3"/>
      <c r="F22" s="3"/>
      <c r="G22" s="3"/>
      <c r="H22" s="5">
        <f t="shared" ca="1" si="0"/>
        <v>0</v>
      </c>
      <c r="I22" s="6" t="str" cm="1">
        <f t="array" ref="I22">IF(A22="", "",_FV( A22,"Price"))</f>
        <v/>
      </c>
      <c r="J22" s="5">
        <f t="shared" si="1"/>
        <v>0</v>
      </c>
      <c r="K22" s="3"/>
      <c r="L22" s="3"/>
      <c r="M22" s="3"/>
      <c r="N22" s="7" t="str">
        <f t="shared" si="2"/>
        <v>---------</v>
      </c>
      <c r="O22" s="7" t="str">
        <f t="shared" si="3"/>
        <v>---------</v>
      </c>
      <c r="P22" s="3"/>
      <c r="Q22" s="3"/>
      <c r="R22" s="3"/>
      <c r="S22" s="4"/>
      <c r="T22" s="5">
        <f t="shared" si="4"/>
        <v>0</v>
      </c>
      <c r="U22" s="5">
        <f t="shared" si="5"/>
        <v>0</v>
      </c>
      <c r="V22" s="8" t="str">
        <f t="shared" si="6"/>
        <v>-----------</v>
      </c>
      <c r="W22" s="9" t="e">
        <f t="shared" si="7"/>
        <v>#DIV/0!</v>
      </c>
      <c r="X22" s="10" t="str">
        <f t="shared" si="8"/>
        <v>-----------</v>
      </c>
      <c r="Y22" s="11"/>
      <c r="Z22" s="12"/>
    </row>
    <row r="23" spans="1:26" x14ac:dyDescent="0.25">
      <c r="A23" s="14"/>
      <c r="B23" s="3" t="str" cm="1">
        <f t="array" ref="B23">IF(A23="", "",_FV( A23,"Ticker symbol",TRUE))</f>
        <v/>
      </c>
      <c r="C23" s="4"/>
      <c r="D23" s="4"/>
      <c r="E23" s="3"/>
      <c r="F23" s="3"/>
      <c r="G23" s="3"/>
      <c r="H23" s="5">
        <f t="shared" ca="1" si="0"/>
        <v>0</v>
      </c>
      <c r="I23" s="6" t="str" cm="1">
        <f t="array" ref="I23">IF(A23="", "",_FV( A23,"Price"))</f>
        <v/>
      </c>
      <c r="J23" s="5">
        <f t="shared" si="1"/>
        <v>0</v>
      </c>
      <c r="K23" s="3"/>
      <c r="L23" s="3"/>
      <c r="M23" s="3"/>
      <c r="N23" s="7" t="str">
        <f t="shared" si="2"/>
        <v>---------</v>
      </c>
      <c r="O23" s="7" t="str">
        <f t="shared" si="3"/>
        <v>---------</v>
      </c>
      <c r="P23" s="3"/>
      <c r="Q23" s="3"/>
      <c r="R23" s="3"/>
      <c r="S23" s="4"/>
      <c r="T23" s="5">
        <f t="shared" si="4"/>
        <v>0</v>
      </c>
      <c r="U23" s="5">
        <f t="shared" si="5"/>
        <v>0</v>
      </c>
      <c r="V23" s="8" t="str">
        <f t="shared" si="6"/>
        <v>-----------</v>
      </c>
      <c r="W23" s="9" t="e">
        <f t="shared" si="7"/>
        <v>#DIV/0!</v>
      </c>
      <c r="X23" s="10" t="str">
        <f t="shared" si="8"/>
        <v>-----------</v>
      </c>
      <c r="Y23" s="11"/>
      <c r="Z23" s="12"/>
    </row>
    <row r="24" spans="1:26" x14ac:dyDescent="0.25">
      <c r="A24" s="14"/>
      <c r="B24" s="3" t="str" cm="1">
        <f t="array" ref="B24">IF(A24="", "",_FV( A24,"Ticker symbol",TRUE))</f>
        <v/>
      </c>
      <c r="C24" s="4"/>
      <c r="D24" s="4"/>
      <c r="E24" s="3"/>
      <c r="F24" s="3"/>
      <c r="G24" s="3"/>
      <c r="H24" s="5">
        <f t="shared" ca="1" si="0"/>
        <v>0</v>
      </c>
      <c r="I24" s="6" t="str" cm="1">
        <f t="array" ref="I24">IF(A24="", "",_FV( A24,"Price"))</f>
        <v/>
      </c>
      <c r="J24" s="5">
        <f t="shared" si="1"/>
        <v>0</v>
      </c>
      <c r="K24" s="3"/>
      <c r="L24" s="3"/>
      <c r="M24" s="3"/>
      <c r="N24" s="7" t="str">
        <f t="shared" si="2"/>
        <v>---------</v>
      </c>
      <c r="O24" s="7" t="str">
        <f t="shared" si="3"/>
        <v>---------</v>
      </c>
      <c r="P24" s="3"/>
      <c r="Q24" s="3"/>
      <c r="R24" s="3"/>
      <c r="S24" s="4"/>
      <c r="T24" s="5">
        <f t="shared" si="4"/>
        <v>0</v>
      </c>
      <c r="U24" s="5">
        <f t="shared" si="5"/>
        <v>0</v>
      </c>
      <c r="V24" s="8" t="str">
        <f t="shared" si="6"/>
        <v>-----------</v>
      </c>
      <c r="W24" s="9" t="e">
        <f t="shared" si="7"/>
        <v>#DIV/0!</v>
      </c>
      <c r="X24" s="10" t="str">
        <f t="shared" si="8"/>
        <v>-----------</v>
      </c>
      <c r="Y24" s="11"/>
      <c r="Z24" s="12"/>
    </row>
    <row r="25" spans="1:26" x14ac:dyDescent="0.25">
      <c r="A25" s="14"/>
      <c r="B25" s="3" t="str" cm="1">
        <f t="array" ref="B25">IF(A25="", "",_FV( A25,"Ticker symbol",TRUE))</f>
        <v/>
      </c>
      <c r="C25" s="4"/>
      <c r="D25" s="4"/>
      <c r="E25" s="3"/>
      <c r="F25" s="3"/>
      <c r="G25" s="3"/>
      <c r="H25" s="5">
        <f t="shared" ca="1" si="0"/>
        <v>0</v>
      </c>
      <c r="I25" s="6" t="str" cm="1">
        <f t="array" ref="I25">IF(A25="", "",_FV( A25,"Price"))</f>
        <v/>
      </c>
      <c r="J25" s="5">
        <f t="shared" si="1"/>
        <v>0</v>
      </c>
      <c r="K25" s="3"/>
      <c r="L25" s="3"/>
      <c r="M25" s="3"/>
      <c r="N25" s="7" t="str">
        <f t="shared" si="2"/>
        <v>---------</v>
      </c>
      <c r="O25" s="7" t="str">
        <f t="shared" si="3"/>
        <v>---------</v>
      </c>
      <c r="P25" s="3"/>
      <c r="Q25" s="3"/>
      <c r="R25" s="3"/>
      <c r="S25" s="4"/>
      <c r="T25" s="5">
        <f t="shared" si="4"/>
        <v>0</v>
      </c>
      <c r="U25" s="5">
        <f t="shared" si="5"/>
        <v>0</v>
      </c>
      <c r="V25" s="8" t="str">
        <f t="shared" si="6"/>
        <v>-----------</v>
      </c>
      <c r="W25" s="9" t="e">
        <f t="shared" si="7"/>
        <v>#DIV/0!</v>
      </c>
      <c r="X25" s="10" t="str">
        <f t="shared" si="8"/>
        <v>-----------</v>
      </c>
      <c r="Y25" s="11"/>
      <c r="Z25" s="12"/>
    </row>
    <row r="26" spans="1:26" x14ac:dyDescent="0.25">
      <c r="A26" s="14"/>
      <c r="B26" s="3" t="str" cm="1">
        <f t="array" ref="B26">IF(A26="", "",_FV( A26,"Ticker symbol",TRUE))</f>
        <v/>
      </c>
      <c r="C26" s="4"/>
      <c r="D26" s="4"/>
      <c r="E26" s="3"/>
      <c r="F26" s="3"/>
      <c r="G26" s="3"/>
      <c r="H26" s="5">
        <f t="shared" ca="1" si="0"/>
        <v>0</v>
      </c>
      <c r="I26" s="6" t="str" cm="1">
        <f t="array" ref="I26">IF(A26="", "",_FV( A26,"Price"))</f>
        <v/>
      </c>
      <c r="J26" s="5">
        <f t="shared" si="1"/>
        <v>0</v>
      </c>
      <c r="K26" s="3"/>
      <c r="L26" s="3"/>
      <c r="M26" s="3"/>
      <c r="N26" s="7" t="str">
        <f t="shared" si="2"/>
        <v>---------</v>
      </c>
      <c r="O26" s="7" t="str">
        <f t="shared" si="3"/>
        <v>---------</v>
      </c>
      <c r="P26" s="3"/>
      <c r="Q26" s="3"/>
      <c r="R26" s="3"/>
      <c r="S26" s="4"/>
      <c r="T26" s="5">
        <f t="shared" si="4"/>
        <v>0</v>
      </c>
      <c r="U26" s="5">
        <f t="shared" si="5"/>
        <v>0</v>
      </c>
      <c r="V26" s="8" t="str">
        <f t="shared" si="6"/>
        <v>-----------</v>
      </c>
      <c r="W26" s="9" t="e">
        <f t="shared" si="7"/>
        <v>#DIV/0!</v>
      </c>
      <c r="X26" s="10" t="str">
        <f t="shared" si="8"/>
        <v>-----------</v>
      </c>
      <c r="Y26" s="11"/>
      <c r="Z26" s="12"/>
    </row>
    <row r="27" spans="1:26" x14ac:dyDescent="0.25">
      <c r="A27" s="14"/>
      <c r="B27" s="3" t="str" cm="1">
        <f t="array" ref="B27">IF(A27="", "",_FV( A27,"Ticker symbol",TRUE))</f>
        <v/>
      </c>
      <c r="C27" s="4"/>
      <c r="D27" s="4"/>
      <c r="E27" s="3"/>
      <c r="F27" s="3"/>
      <c r="G27" s="3"/>
      <c r="H27" s="5">
        <f t="shared" ca="1" si="0"/>
        <v>0</v>
      </c>
      <c r="I27" s="6" t="str" cm="1">
        <f t="array" ref="I27">IF(A27="", "",_FV( A27,"Price"))</f>
        <v/>
      </c>
      <c r="J27" s="5">
        <f t="shared" si="1"/>
        <v>0</v>
      </c>
      <c r="K27" s="3"/>
      <c r="L27" s="3"/>
      <c r="M27" s="3"/>
      <c r="N27" s="7" t="str">
        <f t="shared" si="2"/>
        <v>---------</v>
      </c>
      <c r="O27" s="7" t="str">
        <f t="shared" si="3"/>
        <v>---------</v>
      </c>
      <c r="P27" s="3"/>
      <c r="Q27" s="3"/>
      <c r="R27" s="3"/>
      <c r="S27" s="4"/>
      <c r="T27" s="5">
        <f t="shared" si="4"/>
        <v>0</v>
      </c>
      <c r="U27" s="5">
        <f t="shared" si="5"/>
        <v>0</v>
      </c>
      <c r="V27" s="8" t="str">
        <f t="shared" si="6"/>
        <v>-----------</v>
      </c>
      <c r="W27" s="9" t="e">
        <f t="shared" si="7"/>
        <v>#DIV/0!</v>
      </c>
      <c r="X27" s="10" t="str">
        <f t="shared" si="8"/>
        <v>-----------</v>
      </c>
      <c r="Y27" s="11"/>
      <c r="Z27" s="12"/>
    </row>
    <row r="28" spans="1:26" x14ac:dyDescent="0.25">
      <c r="A28" s="14"/>
      <c r="B28" s="3" t="str" cm="1">
        <f t="array" ref="B28">IF(A28="", "",_FV( A28,"Ticker symbol",TRUE))</f>
        <v/>
      </c>
      <c r="C28" s="4"/>
      <c r="D28" s="4"/>
      <c r="E28" s="3"/>
      <c r="F28" s="3"/>
      <c r="G28" s="3"/>
      <c r="H28" s="5">
        <f t="shared" ca="1" si="0"/>
        <v>0</v>
      </c>
      <c r="I28" s="6" t="str" cm="1">
        <f t="array" ref="I28">IF(A28="", "",_FV( A28,"Price"))</f>
        <v/>
      </c>
      <c r="J28" s="5">
        <f t="shared" si="1"/>
        <v>0</v>
      </c>
      <c r="K28" s="3"/>
      <c r="L28" s="3"/>
      <c r="M28" s="3"/>
      <c r="N28" s="7" t="str">
        <f t="shared" si="2"/>
        <v>---------</v>
      </c>
      <c r="O28" s="7" t="str">
        <f t="shared" si="3"/>
        <v>---------</v>
      </c>
      <c r="P28" s="3"/>
      <c r="Q28" s="3"/>
      <c r="R28" s="3"/>
      <c r="S28" s="4"/>
      <c r="T28" s="5">
        <f t="shared" si="4"/>
        <v>0</v>
      </c>
      <c r="U28" s="5">
        <f t="shared" si="5"/>
        <v>0</v>
      </c>
      <c r="V28" s="8" t="str">
        <f t="shared" si="6"/>
        <v>-----------</v>
      </c>
      <c r="W28" s="9" t="e">
        <f t="shared" si="7"/>
        <v>#DIV/0!</v>
      </c>
      <c r="X28" s="10" t="str">
        <f t="shared" si="8"/>
        <v>-----------</v>
      </c>
      <c r="Y28" s="11"/>
      <c r="Z28" s="12"/>
    </row>
    <row r="29" spans="1:26" x14ac:dyDescent="0.25">
      <c r="A29" s="14"/>
      <c r="B29" s="3" t="str" cm="1">
        <f t="array" ref="B29">IF(A29="", "",_FV( A29,"Ticker symbol",TRUE))</f>
        <v/>
      </c>
      <c r="C29" s="4"/>
      <c r="D29" s="4"/>
      <c r="E29" s="3"/>
      <c r="F29" s="3"/>
      <c r="G29" s="3"/>
      <c r="H29" s="5">
        <f t="shared" ca="1" si="0"/>
        <v>0</v>
      </c>
      <c r="I29" s="6" t="str" cm="1">
        <f t="array" ref="I29">IF(A29="", "",_FV( A29,"Price"))</f>
        <v/>
      </c>
      <c r="J29" s="5">
        <f t="shared" si="1"/>
        <v>0</v>
      </c>
      <c r="K29" s="3"/>
      <c r="L29" s="3"/>
      <c r="M29" s="3"/>
      <c r="N29" s="7" t="str">
        <f t="shared" si="2"/>
        <v>---------</v>
      </c>
      <c r="O29" s="7" t="str">
        <f t="shared" si="3"/>
        <v>---------</v>
      </c>
      <c r="P29" s="3"/>
      <c r="Q29" s="3"/>
      <c r="R29" s="3"/>
      <c r="S29" s="4"/>
      <c r="T29" s="5">
        <f t="shared" si="4"/>
        <v>0</v>
      </c>
      <c r="U29" s="5">
        <f t="shared" si="5"/>
        <v>0</v>
      </c>
      <c r="V29" s="8" t="str">
        <f t="shared" si="6"/>
        <v>-----------</v>
      </c>
      <c r="W29" s="9" t="e">
        <f t="shared" si="7"/>
        <v>#DIV/0!</v>
      </c>
      <c r="X29" s="10" t="str">
        <f t="shared" si="8"/>
        <v>-----------</v>
      </c>
      <c r="Y29" s="11"/>
      <c r="Z29" s="12"/>
    </row>
    <row r="30" spans="1:26" x14ac:dyDescent="0.25">
      <c r="A30" s="14"/>
      <c r="B30" s="3" t="str" cm="1">
        <f t="array" ref="B30">IF(A30="", "",_FV( A30,"Ticker symbol",TRUE))</f>
        <v/>
      </c>
      <c r="C30" s="4"/>
      <c r="D30" s="4"/>
      <c r="E30" s="3"/>
      <c r="F30" s="3"/>
      <c r="G30" s="3"/>
      <c r="H30" s="5">
        <f t="shared" ca="1" si="0"/>
        <v>0</v>
      </c>
      <c r="I30" s="6" t="str" cm="1">
        <f t="array" ref="I30">IF(A30="", "",_FV( A30,"Price"))</f>
        <v/>
      </c>
      <c r="J30" s="5">
        <f t="shared" si="1"/>
        <v>0</v>
      </c>
      <c r="K30" s="3"/>
      <c r="L30" s="3"/>
      <c r="M30" s="3"/>
      <c r="N30" s="7" t="str">
        <f t="shared" si="2"/>
        <v>---------</v>
      </c>
      <c r="O30" s="7" t="str">
        <f t="shared" si="3"/>
        <v>---------</v>
      </c>
      <c r="P30" s="3"/>
      <c r="Q30" s="3"/>
      <c r="R30" s="3"/>
      <c r="S30" s="4"/>
      <c r="T30" s="5">
        <f t="shared" si="4"/>
        <v>0</v>
      </c>
      <c r="U30" s="5">
        <f t="shared" si="5"/>
        <v>0</v>
      </c>
      <c r="V30" s="8" t="str">
        <f t="shared" si="6"/>
        <v>-----------</v>
      </c>
      <c r="W30" s="9" t="e">
        <f t="shared" si="7"/>
        <v>#DIV/0!</v>
      </c>
      <c r="X30" s="10" t="str">
        <f t="shared" si="8"/>
        <v>-----------</v>
      </c>
      <c r="Y30" s="11"/>
      <c r="Z30" s="12"/>
    </row>
    <row r="31" spans="1:26" x14ac:dyDescent="0.25">
      <c r="A31" s="14"/>
      <c r="B31" s="3" t="str" cm="1">
        <f t="array" ref="B31">IF(A31="", "",_FV( A31,"Ticker symbol",TRUE))</f>
        <v/>
      </c>
      <c r="C31" s="4"/>
      <c r="D31" s="4"/>
      <c r="E31" s="3"/>
      <c r="F31" s="3"/>
      <c r="G31" s="3"/>
      <c r="H31" s="5">
        <f t="shared" ca="1" si="0"/>
        <v>0</v>
      </c>
      <c r="I31" s="6" t="str" cm="1">
        <f t="array" ref="I31">IF(A31="", "",_FV( A31,"Price"))</f>
        <v/>
      </c>
      <c r="J31" s="5">
        <f t="shared" si="1"/>
        <v>0</v>
      </c>
      <c r="K31" s="3"/>
      <c r="L31" s="3"/>
      <c r="M31" s="3"/>
      <c r="N31" s="7" t="str">
        <f t="shared" si="2"/>
        <v>---------</v>
      </c>
      <c r="O31" s="7" t="str">
        <f t="shared" si="3"/>
        <v>---------</v>
      </c>
      <c r="P31" s="3"/>
      <c r="Q31" s="3"/>
      <c r="R31" s="3"/>
      <c r="S31" s="4"/>
      <c r="T31" s="5">
        <f t="shared" si="4"/>
        <v>0</v>
      </c>
      <c r="U31" s="5">
        <f t="shared" si="5"/>
        <v>0</v>
      </c>
      <c r="V31" s="8" t="str">
        <f t="shared" si="6"/>
        <v>-----------</v>
      </c>
      <c r="W31" s="9" t="e">
        <f t="shared" si="7"/>
        <v>#DIV/0!</v>
      </c>
      <c r="X31" s="10" t="str">
        <f t="shared" si="8"/>
        <v>-----------</v>
      </c>
      <c r="Y31" s="11"/>
      <c r="Z31" s="12"/>
    </row>
    <row r="32" spans="1:26" x14ac:dyDescent="0.25">
      <c r="A32" s="14"/>
      <c r="B32" s="3" t="str" cm="1">
        <f t="array" ref="B32">IF(A32="", "",_FV( A32,"Ticker symbol",TRUE))</f>
        <v/>
      </c>
      <c r="C32" s="4"/>
      <c r="D32" s="4"/>
      <c r="E32" s="3"/>
      <c r="F32" s="3"/>
      <c r="G32" s="3"/>
      <c r="H32" s="5">
        <f t="shared" ca="1" si="0"/>
        <v>0</v>
      </c>
      <c r="I32" s="6" t="str" cm="1">
        <f t="array" ref="I32">IF(A32="", "",_FV( A32,"Price"))</f>
        <v/>
      </c>
      <c r="J32" s="5">
        <f t="shared" si="1"/>
        <v>0</v>
      </c>
      <c r="K32" s="3"/>
      <c r="L32" s="3"/>
      <c r="M32" s="3"/>
      <c r="N32" s="7" t="str">
        <f t="shared" si="2"/>
        <v>---------</v>
      </c>
      <c r="O32" s="7" t="str">
        <f t="shared" si="3"/>
        <v>---------</v>
      </c>
      <c r="P32" s="3"/>
      <c r="Q32" s="3"/>
      <c r="R32" s="3"/>
      <c r="S32" s="4"/>
      <c r="T32" s="5">
        <f t="shared" si="4"/>
        <v>0</v>
      </c>
      <c r="U32" s="5">
        <f t="shared" si="5"/>
        <v>0</v>
      </c>
      <c r="V32" s="8" t="str">
        <f t="shared" si="6"/>
        <v>-----------</v>
      </c>
      <c r="W32" s="9" t="e">
        <f t="shared" si="7"/>
        <v>#DIV/0!</v>
      </c>
      <c r="X32" s="10" t="str">
        <f t="shared" si="8"/>
        <v>-----------</v>
      </c>
      <c r="Y32" s="11"/>
      <c r="Z32" s="12"/>
    </row>
    <row r="33" spans="1:26" x14ac:dyDescent="0.25">
      <c r="A33" s="14"/>
      <c r="B33" s="3" t="str" cm="1">
        <f t="array" ref="B33">IF(A33="", "",_FV( A33,"Ticker symbol",TRUE))</f>
        <v/>
      </c>
      <c r="C33" s="4"/>
      <c r="D33" s="4"/>
      <c r="E33" s="3"/>
      <c r="F33" s="3"/>
      <c r="G33" s="3"/>
      <c r="H33" s="5">
        <f t="shared" ca="1" si="0"/>
        <v>0</v>
      </c>
      <c r="I33" s="6" t="str" cm="1">
        <f t="array" ref="I33">IF(A33="", "",_FV( A33,"Price"))</f>
        <v/>
      </c>
      <c r="J33" s="5">
        <f t="shared" si="1"/>
        <v>0</v>
      </c>
      <c r="K33" s="3"/>
      <c r="L33" s="3"/>
      <c r="M33" s="3"/>
      <c r="N33" s="7" t="str">
        <f t="shared" si="2"/>
        <v>---------</v>
      </c>
      <c r="O33" s="7" t="str">
        <f t="shared" si="3"/>
        <v>---------</v>
      </c>
      <c r="P33" s="3"/>
      <c r="Q33" s="3"/>
      <c r="R33" s="3"/>
      <c r="S33" s="4"/>
      <c r="T33" s="5">
        <f t="shared" si="4"/>
        <v>0</v>
      </c>
      <c r="U33" s="5">
        <f t="shared" si="5"/>
        <v>0</v>
      </c>
      <c r="V33" s="8" t="str">
        <f t="shared" si="6"/>
        <v>-----------</v>
      </c>
      <c r="W33" s="9" t="e">
        <f t="shared" si="7"/>
        <v>#DIV/0!</v>
      </c>
      <c r="X33" s="10" t="str">
        <f t="shared" si="8"/>
        <v>-----------</v>
      </c>
      <c r="Y33" s="11"/>
      <c r="Z33" s="12"/>
    </row>
    <row r="34" spans="1:26" x14ac:dyDescent="0.25">
      <c r="A34" s="14"/>
      <c r="B34" s="3" t="str" cm="1">
        <f t="array" ref="B34">IF(A34="", "",_FV( A34,"Ticker symbol",TRUE))</f>
        <v/>
      </c>
      <c r="C34" s="4"/>
      <c r="D34" s="4"/>
      <c r="E34" s="3"/>
      <c r="F34" s="3"/>
      <c r="G34" s="3"/>
      <c r="H34" s="5">
        <f t="shared" ca="1" si="0"/>
        <v>0</v>
      </c>
      <c r="I34" s="6" t="str" cm="1">
        <f t="array" ref="I34">IF(A34="", "",_FV( A34,"Price"))</f>
        <v/>
      </c>
      <c r="J34" s="5">
        <f t="shared" si="1"/>
        <v>0</v>
      </c>
      <c r="K34" s="3"/>
      <c r="L34" s="3"/>
      <c r="M34" s="3"/>
      <c r="N34" s="7" t="str">
        <f t="shared" si="2"/>
        <v>---------</v>
      </c>
      <c r="O34" s="7" t="str">
        <f t="shared" si="3"/>
        <v>---------</v>
      </c>
      <c r="P34" s="3"/>
      <c r="Q34" s="3"/>
      <c r="R34" s="3"/>
      <c r="S34" s="4"/>
      <c r="T34" s="5">
        <f t="shared" si="4"/>
        <v>0</v>
      </c>
      <c r="U34" s="5">
        <f t="shared" si="5"/>
        <v>0</v>
      </c>
      <c r="V34" s="8" t="str">
        <f t="shared" si="6"/>
        <v>-----------</v>
      </c>
      <c r="W34" s="9" t="e">
        <f t="shared" si="7"/>
        <v>#DIV/0!</v>
      </c>
      <c r="X34" s="10" t="str">
        <f t="shared" si="8"/>
        <v>-----------</v>
      </c>
      <c r="Y34" s="11"/>
      <c r="Z34" s="12"/>
    </row>
    <row r="35" spans="1:26" x14ac:dyDescent="0.25">
      <c r="A35" s="14"/>
      <c r="B35" s="3" t="str" cm="1">
        <f t="array" ref="B35">IF(A35="", "",_FV( A35,"Ticker symbol",TRUE))</f>
        <v/>
      </c>
      <c r="C35" s="4"/>
      <c r="D35" s="4"/>
      <c r="E35" s="3"/>
      <c r="F35" s="3"/>
      <c r="G35" s="3"/>
      <c r="H35" s="5">
        <f t="shared" ca="1" si="0"/>
        <v>0</v>
      </c>
      <c r="I35" s="6" t="str" cm="1">
        <f t="array" ref="I35">IF(A35="", "",_FV( A35,"Price"))</f>
        <v/>
      </c>
      <c r="J35" s="5">
        <f t="shared" si="1"/>
        <v>0</v>
      </c>
      <c r="K35" s="3"/>
      <c r="L35" s="3"/>
      <c r="M35" s="3"/>
      <c r="N35" s="7" t="str">
        <f t="shared" si="2"/>
        <v>---------</v>
      </c>
      <c r="O35" s="7" t="str">
        <f t="shared" si="3"/>
        <v>---------</v>
      </c>
      <c r="P35" s="3"/>
      <c r="Q35" s="3"/>
      <c r="R35" s="3"/>
      <c r="S35" s="4"/>
      <c r="T35" s="5">
        <f t="shared" si="4"/>
        <v>0</v>
      </c>
      <c r="U35" s="5">
        <f t="shared" si="5"/>
        <v>0</v>
      </c>
      <c r="V35" s="8" t="str">
        <f t="shared" si="6"/>
        <v>-----------</v>
      </c>
      <c r="W35" s="9" t="e">
        <f t="shared" si="7"/>
        <v>#DIV/0!</v>
      </c>
      <c r="X35" s="10" t="str">
        <f t="shared" si="8"/>
        <v>-----------</v>
      </c>
      <c r="Y35" s="11"/>
      <c r="Z35" s="12"/>
    </row>
    <row r="36" spans="1:26" x14ac:dyDescent="0.25">
      <c r="A36" s="14"/>
      <c r="B36" s="3" t="str" cm="1">
        <f t="array" ref="B36">IF(A36="", "",_FV( A36,"Ticker symbol",TRUE))</f>
        <v/>
      </c>
      <c r="C36" s="4"/>
      <c r="D36" s="4"/>
      <c r="E36" s="3"/>
      <c r="F36" s="3"/>
      <c r="G36" s="3"/>
      <c r="H36" s="5">
        <f t="shared" ca="1" si="0"/>
        <v>0</v>
      </c>
      <c r="I36" s="6" t="str" cm="1">
        <f t="array" ref="I36">IF(A36="", "",_FV( A36,"Price"))</f>
        <v/>
      </c>
      <c r="J36" s="5">
        <f t="shared" si="1"/>
        <v>0</v>
      </c>
      <c r="K36" s="3"/>
      <c r="L36" s="3"/>
      <c r="M36" s="3"/>
      <c r="N36" s="7" t="str">
        <f t="shared" si="2"/>
        <v>---------</v>
      </c>
      <c r="O36" s="7" t="str">
        <f t="shared" si="3"/>
        <v>---------</v>
      </c>
      <c r="P36" s="3"/>
      <c r="Q36" s="3"/>
      <c r="R36" s="3"/>
      <c r="S36" s="4"/>
      <c r="T36" s="5">
        <f t="shared" si="4"/>
        <v>0</v>
      </c>
      <c r="U36" s="5">
        <f t="shared" si="5"/>
        <v>0</v>
      </c>
      <c r="V36" s="8" t="str">
        <f t="shared" si="6"/>
        <v>-----------</v>
      </c>
      <c r="W36" s="9" t="e">
        <f t="shared" si="7"/>
        <v>#DIV/0!</v>
      </c>
      <c r="X36" s="10" t="str">
        <f t="shared" si="8"/>
        <v>-----------</v>
      </c>
      <c r="Y36" s="11"/>
      <c r="Z36" s="12"/>
    </row>
    <row r="37" spans="1:26" x14ac:dyDescent="0.25">
      <c r="A37" s="14"/>
      <c r="B37" s="3" t="str" cm="1">
        <f t="array" ref="B37">IF(A37="", "",_FV( A37,"Ticker symbol",TRUE))</f>
        <v/>
      </c>
      <c r="C37" s="4"/>
      <c r="D37" s="4"/>
      <c r="E37" s="3"/>
      <c r="F37" s="3"/>
      <c r="G37" s="3"/>
      <c r="H37" s="5">
        <f t="shared" ca="1" si="0"/>
        <v>0</v>
      </c>
      <c r="I37" s="6" t="str" cm="1">
        <f t="array" ref="I37">IF(A37="", "",_FV( A37,"Price"))</f>
        <v/>
      </c>
      <c r="J37" s="5">
        <f t="shared" si="1"/>
        <v>0</v>
      </c>
      <c r="K37" s="3"/>
      <c r="L37" s="3"/>
      <c r="M37" s="3"/>
      <c r="N37" s="7" t="str">
        <f t="shared" si="2"/>
        <v>---------</v>
      </c>
      <c r="O37" s="7" t="str">
        <f t="shared" si="3"/>
        <v>---------</v>
      </c>
      <c r="P37" s="3"/>
      <c r="Q37" s="3"/>
      <c r="R37" s="3"/>
      <c r="S37" s="4"/>
      <c r="T37" s="5">
        <f t="shared" si="4"/>
        <v>0</v>
      </c>
      <c r="U37" s="5">
        <f t="shared" si="5"/>
        <v>0</v>
      </c>
      <c r="V37" s="8" t="str">
        <f t="shared" si="6"/>
        <v>-----------</v>
      </c>
      <c r="W37" s="9" t="e">
        <f t="shared" si="7"/>
        <v>#DIV/0!</v>
      </c>
      <c r="X37" s="10" t="str">
        <f t="shared" si="8"/>
        <v>-----------</v>
      </c>
      <c r="Y37" s="11"/>
      <c r="Z37" s="12"/>
    </row>
    <row r="38" spans="1:26" x14ac:dyDescent="0.25">
      <c r="A38" s="14"/>
      <c r="B38" s="3" t="str" cm="1">
        <f t="array" ref="B38">IF(A38="", "",_FV( A38,"Ticker symbol",TRUE))</f>
        <v/>
      </c>
      <c r="C38" s="4"/>
      <c r="D38" s="4"/>
      <c r="E38" s="3"/>
      <c r="F38" s="3"/>
      <c r="G38" s="3"/>
      <c r="H38" s="5">
        <f t="shared" ca="1" si="0"/>
        <v>0</v>
      </c>
      <c r="I38" s="6" t="str" cm="1">
        <f t="array" ref="I38">IF(A38="", "",_FV( A38,"Price"))</f>
        <v/>
      </c>
      <c r="J38" s="5">
        <f t="shared" si="1"/>
        <v>0</v>
      </c>
      <c r="K38" s="3"/>
      <c r="L38" s="3"/>
      <c r="M38" s="3"/>
      <c r="N38" s="7" t="str">
        <f t="shared" si="2"/>
        <v>---------</v>
      </c>
      <c r="O38" s="7" t="str">
        <f t="shared" si="3"/>
        <v>---------</v>
      </c>
      <c r="P38" s="3"/>
      <c r="Q38" s="3"/>
      <c r="R38" s="3"/>
      <c r="S38" s="4"/>
      <c r="T38" s="5">
        <f t="shared" si="4"/>
        <v>0</v>
      </c>
      <c r="U38" s="5">
        <f t="shared" si="5"/>
        <v>0</v>
      </c>
      <c r="V38" s="8" t="str">
        <f t="shared" si="6"/>
        <v>-----------</v>
      </c>
      <c r="W38" s="9" t="e">
        <f t="shared" si="7"/>
        <v>#DIV/0!</v>
      </c>
      <c r="X38" s="10" t="str">
        <f t="shared" si="8"/>
        <v>-----------</v>
      </c>
      <c r="Y38" s="11"/>
      <c r="Z38" s="12"/>
    </row>
    <row r="39" spans="1:26" x14ac:dyDescent="0.25">
      <c r="A39" s="14"/>
      <c r="B39" s="3" t="str" cm="1">
        <f t="array" ref="B39">IF(A39="", "",_FV( A39,"Ticker symbol",TRUE))</f>
        <v/>
      </c>
      <c r="C39" s="4"/>
      <c r="D39" s="4"/>
      <c r="E39" s="3"/>
      <c r="F39" s="3"/>
      <c r="G39" s="3"/>
      <c r="H39" s="5">
        <f t="shared" ca="1" si="0"/>
        <v>0</v>
      </c>
      <c r="I39" s="6" t="str" cm="1">
        <f t="array" ref="I39">IF(A39="", "",_FV( A39,"Price"))</f>
        <v/>
      </c>
      <c r="J39" s="5">
        <f t="shared" si="1"/>
        <v>0</v>
      </c>
      <c r="K39" s="3"/>
      <c r="L39" s="3"/>
      <c r="M39" s="3"/>
      <c r="N39" s="7" t="str">
        <f t="shared" si="2"/>
        <v>---------</v>
      </c>
      <c r="O39" s="7" t="str">
        <f t="shared" si="3"/>
        <v>---------</v>
      </c>
      <c r="P39" s="3"/>
      <c r="Q39" s="3"/>
      <c r="R39" s="3"/>
      <c r="S39" s="4"/>
      <c r="T39" s="5">
        <f t="shared" si="4"/>
        <v>0</v>
      </c>
      <c r="U39" s="5">
        <f t="shared" si="5"/>
        <v>0</v>
      </c>
      <c r="V39" s="8" t="str">
        <f t="shared" si="6"/>
        <v>-----------</v>
      </c>
      <c r="W39" s="9" t="e">
        <f t="shared" si="7"/>
        <v>#DIV/0!</v>
      </c>
      <c r="X39" s="10" t="str">
        <f t="shared" si="8"/>
        <v>-----------</v>
      </c>
      <c r="Y39" s="11"/>
      <c r="Z39" s="12"/>
    </row>
    <row r="40" spans="1:26" x14ac:dyDescent="0.25">
      <c r="A40" s="14"/>
      <c r="B40" s="3" t="str" cm="1">
        <f t="array" ref="B40">IF(A40="", "",_FV( A40,"Ticker symbol",TRUE))</f>
        <v/>
      </c>
      <c r="C40" s="4"/>
      <c r="D40" s="4"/>
      <c r="E40" s="3"/>
      <c r="F40" s="3"/>
      <c r="G40" s="3"/>
      <c r="H40" s="5">
        <f t="shared" ca="1" si="0"/>
        <v>0</v>
      </c>
      <c r="I40" s="6" t="str" cm="1">
        <f t="array" ref="I40">IF(A40="", "",_FV( A40,"Price"))</f>
        <v/>
      </c>
      <c r="J40" s="5">
        <f t="shared" si="1"/>
        <v>0</v>
      </c>
      <c r="K40" s="3"/>
      <c r="L40" s="3"/>
      <c r="M40" s="3"/>
      <c r="N40" s="7" t="str">
        <f t="shared" si="2"/>
        <v>---------</v>
      </c>
      <c r="O40" s="7" t="str">
        <f t="shared" si="3"/>
        <v>---------</v>
      </c>
      <c r="P40" s="3"/>
      <c r="Q40" s="3"/>
      <c r="R40" s="3"/>
      <c r="S40" s="4"/>
      <c r="T40" s="5">
        <f t="shared" si="4"/>
        <v>0</v>
      </c>
      <c r="U40" s="5">
        <f t="shared" si="5"/>
        <v>0</v>
      </c>
      <c r="V40" s="8" t="str">
        <f t="shared" si="6"/>
        <v>-----------</v>
      </c>
      <c r="W40" s="9" t="e">
        <f t="shared" si="7"/>
        <v>#DIV/0!</v>
      </c>
      <c r="X40" s="10" t="str">
        <f t="shared" si="8"/>
        <v>-----------</v>
      </c>
      <c r="Y40" s="11"/>
      <c r="Z40" s="12"/>
    </row>
    <row r="41" spans="1:26" x14ac:dyDescent="0.25">
      <c r="A41" s="14"/>
      <c r="B41" s="3" t="str" cm="1">
        <f t="array" ref="B41">IF(A41="", "",_FV( A41,"Ticker symbol",TRUE))</f>
        <v/>
      </c>
      <c r="C41" s="4"/>
      <c r="D41" s="4"/>
      <c r="E41" s="3"/>
      <c r="F41" s="3"/>
      <c r="G41" s="3"/>
      <c r="H41" s="5">
        <f t="shared" ca="1" si="0"/>
        <v>0</v>
      </c>
      <c r="I41" s="6" t="str" cm="1">
        <f t="array" ref="I41">IF(A41="", "",_FV( A41,"Price"))</f>
        <v/>
      </c>
      <c r="J41" s="5">
        <f t="shared" si="1"/>
        <v>0</v>
      </c>
      <c r="K41" s="3"/>
      <c r="L41" s="3"/>
      <c r="M41" s="3"/>
      <c r="N41" s="7" t="str">
        <f t="shared" si="2"/>
        <v>---------</v>
      </c>
      <c r="O41" s="7" t="str">
        <f t="shared" si="3"/>
        <v>---------</v>
      </c>
      <c r="P41" s="3"/>
      <c r="Q41" s="3"/>
      <c r="R41" s="3"/>
      <c r="S41" s="4"/>
      <c r="T41" s="5">
        <f t="shared" si="4"/>
        <v>0</v>
      </c>
      <c r="U41" s="5">
        <f t="shared" si="5"/>
        <v>0</v>
      </c>
      <c r="V41" s="8" t="str">
        <f t="shared" si="6"/>
        <v>-----------</v>
      </c>
      <c r="W41" s="9" t="e">
        <f t="shared" si="7"/>
        <v>#DIV/0!</v>
      </c>
      <c r="X41" s="10" t="str">
        <f t="shared" si="8"/>
        <v>-----------</v>
      </c>
      <c r="Y41" s="11"/>
      <c r="Z41" s="12"/>
    </row>
    <row r="42" spans="1:26" x14ac:dyDescent="0.25">
      <c r="A42" s="14"/>
      <c r="B42" s="3" t="str" cm="1">
        <f t="array" ref="B42">IF(A42="", "",_FV( A42,"Ticker symbol",TRUE))</f>
        <v/>
      </c>
      <c r="C42" s="4"/>
      <c r="D42" s="4"/>
      <c r="E42" s="3"/>
      <c r="F42" s="3"/>
      <c r="G42" s="3"/>
      <c r="H42" s="5">
        <f t="shared" ca="1" si="0"/>
        <v>0</v>
      </c>
      <c r="I42" s="6" t="str" cm="1">
        <f t="array" ref="I42">IF(A42="", "",_FV( A42,"Price"))</f>
        <v/>
      </c>
      <c r="J42" s="5">
        <f t="shared" si="1"/>
        <v>0</v>
      </c>
      <c r="K42" s="3"/>
      <c r="L42" s="3"/>
      <c r="M42" s="3"/>
      <c r="N42" s="7" t="str">
        <f t="shared" si="2"/>
        <v>---------</v>
      </c>
      <c r="O42" s="7" t="str">
        <f t="shared" si="3"/>
        <v>---------</v>
      </c>
      <c r="P42" s="3"/>
      <c r="Q42" s="3"/>
      <c r="R42" s="3"/>
      <c r="S42" s="4"/>
      <c r="T42" s="5">
        <f t="shared" si="4"/>
        <v>0</v>
      </c>
      <c r="U42" s="5">
        <f t="shared" si="5"/>
        <v>0</v>
      </c>
      <c r="V42" s="8" t="str">
        <f t="shared" si="6"/>
        <v>-----------</v>
      </c>
      <c r="W42" s="9" t="e">
        <f t="shared" si="7"/>
        <v>#DIV/0!</v>
      </c>
      <c r="X42" s="10" t="str">
        <f t="shared" si="8"/>
        <v>-----------</v>
      </c>
      <c r="Y42" s="11"/>
      <c r="Z42" s="12"/>
    </row>
    <row r="43" spans="1:26" x14ac:dyDescent="0.25">
      <c r="A43" s="14"/>
      <c r="B43" s="3" t="str" cm="1">
        <f t="array" ref="B43">IF(A43="", "",_FV( A43,"Ticker symbol",TRUE))</f>
        <v/>
      </c>
      <c r="C43" s="4"/>
      <c r="D43" s="4"/>
      <c r="E43" s="3"/>
      <c r="F43" s="3"/>
      <c r="G43" s="3"/>
      <c r="H43" s="5">
        <f t="shared" ca="1" si="0"/>
        <v>0</v>
      </c>
      <c r="I43" s="6" t="str" cm="1">
        <f t="array" ref="I43">IF(A43="", "",_FV( A43,"Price"))</f>
        <v/>
      </c>
      <c r="J43" s="5">
        <f t="shared" si="1"/>
        <v>0</v>
      </c>
      <c r="K43" s="3"/>
      <c r="L43" s="3"/>
      <c r="M43" s="3"/>
      <c r="N43" s="7" t="str">
        <f t="shared" si="2"/>
        <v>---------</v>
      </c>
      <c r="O43" s="7" t="str">
        <f t="shared" si="3"/>
        <v>---------</v>
      </c>
      <c r="P43" s="3"/>
      <c r="Q43" s="3"/>
      <c r="R43" s="3"/>
      <c r="S43" s="4"/>
      <c r="T43" s="5">
        <f t="shared" si="4"/>
        <v>0</v>
      </c>
      <c r="U43" s="5">
        <f t="shared" si="5"/>
        <v>0</v>
      </c>
      <c r="V43" s="8" t="str">
        <f t="shared" si="6"/>
        <v>-----------</v>
      </c>
      <c r="W43" s="9" t="e">
        <f t="shared" si="7"/>
        <v>#DIV/0!</v>
      </c>
      <c r="X43" s="10" t="str">
        <f t="shared" si="8"/>
        <v>-----------</v>
      </c>
      <c r="Y43" s="11"/>
      <c r="Z43" s="12"/>
    </row>
    <row r="44" spans="1:26" x14ac:dyDescent="0.25">
      <c r="A44" s="14"/>
      <c r="B44" s="3" t="str" cm="1">
        <f t="array" ref="B44">IF(A44="", "",_FV( A44,"Ticker symbol",TRUE))</f>
        <v/>
      </c>
      <c r="C44" s="4"/>
      <c r="D44" s="4"/>
      <c r="E44" s="3"/>
      <c r="F44" s="3"/>
      <c r="G44" s="3"/>
      <c r="H44" s="5">
        <f t="shared" ca="1" si="0"/>
        <v>0</v>
      </c>
      <c r="I44" s="6" t="str" cm="1">
        <f t="array" ref="I44">IF(A44="", "",_FV( A44,"Price"))</f>
        <v/>
      </c>
      <c r="J44" s="5">
        <f t="shared" si="1"/>
        <v>0</v>
      </c>
      <c r="K44" s="3"/>
      <c r="L44" s="3"/>
      <c r="M44" s="3"/>
      <c r="N44" s="7" t="str">
        <f t="shared" si="2"/>
        <v>---------</v>
      </c>
      <c r="O44" s="7" t="str">
        <f t="shared" si="3"/>
        <v>---------</v>
      </c>
      <c r="P44" s="3"/>
      <c r="Q44" s="3"/>
      <c r="R44" s="3"/>
      <c r="S44" s="4"/>
      <c r="T44" s="5">
        <f t="shared" si="4"/>
        <v>0</v>
      </c>
      <c r="U44" s="5">
        <f t="shared" si="5"/>
        <v>0</v>
      </c>
      <c r="V44" s="8" t="str">
        <f t="shared" si="6"/>
        <v>-----------</v>
      </c>
      <c r="W44" s="9" t="e">
        <f t="shared" si="7"/>
        <v>#DIV/0!</v>
      </c>
      <c r="X44" s="10" t="str">
        <f t="shared" si="8"/>
        <v>-----------</v>
      </c>
      <c r="Y44" s="11"/>
      <c r="Z44" s="12"/>
    </row>
    <row r="45" spans="1:26" x14ac:dyDescent="0.25">
      <c r="A45" s="14"/>
      <c r="B45" s="3" t="str" cm="1">
        <f t="array" ref="B45">IF(A45="", "",_FV( A45,"Ticker symbol",TRUE))</f>
        <v/>
      </c>
      <c r="C45" s="4"/>
      <c r="D45" s="4"/>
      <c r="E45" s="3"/>
      <c r="F45" s="3"/>
      <c r="G45" s="3"/>
      <c r="H45" s="5">
        <f t="shared" ca="1" si="0"/>
        <v>0</v>
      </c>
      <c r="I45" s="6" t="str" cm="1">
        <f t="array" ref="I45">IF(A45="", "",_FV( A45,"Price"))</f>
        <v/>
      </c>
      <c r="J45" s="5">
        <f t="shared" si="1"/>
        <v>0</v>
      </c>
      <c r="K45" s="3"/>
      <c r="L45" s="3"/>
      <c r="M45" s="3"/>
      <c r="N45" s="7" t="str">
        <f t="shared" si="2"/>
        <v>---------</v>
      </c>
      <c r="O45" s="7" t="str">
        <f t="shared" si="3"/>
        <v>---------</v>
      </c>
      <c r="P45" s="3"/>
      <c r="Q45" s="3"/>
      <c r="R45" s="3"/>
      <c r="S45" s="4"/>
      <c r="T45" s="5">
        <f t="shared" si="4"/>
        <v>0</v>
      </c>
      <c r="U45" s="5">
        <f t="shared" si="5"/>
        <v>0</v>
      </c>
      <c r="V45" s="8" t="str">
        <f t="shared" si="6"/>
        <v>-----------</v>
      </c>
      <c r="W45" s="9" t="e">
        <f t="shared" si="7"/>
        <v>#DIV/0!</v>
      </c>
      <c r="X45" s="10" t="str">
        <f t="shared" si="8"/>
        <v>-----------</v>
      </c>
      <c r="Y45" s="11"/>
      <c r="Z45" s="12"/>
    </row>
    <row r="46" spans="1:26" x14ac:dyDescent="0.25">
      <c r="A46" s="14"/>
      <c r="B46" s="3" t="str" cm="1">
        <f t="array" ref="B46">IF(A46="", "",_FV( A46,"Ticker symbol",TRUE))</f>
        <v/>
      </c>
      <c r="C46" s="4"/>
      <c r="D46" s="4"/>
      <c r="E46" s="3"/>
      <c r="F46" s="3"/>
      <c r="G46" s="3"/>
      <c r="H46" s="5">
        <f t="shared" ca="1" si="0"/>
        <v>0</v>
      </c>
      <c r="I46" s="6" t="str" cm="1">
        <f t="array" ref="I46">IF(A46="", "",_FV( A46,"Price"))</f>
        <v/>
      </c>
      <c r="J46" s="5">
        <f t="shared" si="1"/>
        <v>0</v>
      </c>
      <c r="K46" s="3"/>
      <c r="L46" s="3"/>
      <c r="M46" s="3"/>
      <c r="N46" s="7" t="str">
        <f t="shared" si="2"/>
        <v>---------</v>
      </c>
      <c r="O46" s="7" t="str">
        <f t="shared" si="3"/>
        <v>---------</v>
      </c>
      <c r="P46" s="3"/>
      <c r="Q46" s="3"/>
      <c r="R46" s="3"/>
      <c r="S46" s="4"/>
      <c r="T46" s="5">
        <f t="shared" si="4"/>
        <v>0</v>
      </c>
      <c r="U46" s="5">
        <f t="shared" si="5"/>
        <v>0</v>
      </c>
      <c r="V46" s="8" t="str">
        <f t="shared" si="6"/>
        <v>-----------</v>
      </c>
      <c r="W46" s="9" t="e">
        <f t="shared" si="7"/>
        <v>#DIV/0!</v>
      </c>
      <c r="X46" s="10" t="str">
        <f t="shared" si="8"/>
        <v>-----------</v>
      </c>
      <c r="Y46" s="11"/>
      <c r="Z46" s="12"/>
    </row>
    <row r="47" spans="1:26" x14ac:dyDescent="0.25">
      <c r="A47" s="14"/>
      <c r="B47" s="3" t="str" cm="1">
        <f t="array" ref="B47">IF(A47="", "",_FV( A47,"Ticker symbol",TRUE))</f>
        <v/>
      </c>
      <c r="C47" s="4"/>
      <c r="D47" s="4"/>
      <c r="E47" s="3"/>
      <c r="F47" s="3"/>
      <c r="G47" s="3"/>
      <c r="H47" s="5">
        <f t="shared" ca="1" si="0"/>
        <v>0</v>
      </c>
      <c r="I47" s="6" t="str" cm="1">
        <f t="array" ref="I47">IF(A47="", "",_FV( A47,"Price"))</f>
        <v/>
      </c>
      <c r="J47" s="5">
        <f t="shared" si="1"/>
        <v>0</v>
      </c>
      <c r="K47" s="3"/>
      <c r="L47" s="3"/>
      <c r="M47" s="3"/>
      <c r="N47" s="7" t="str">
        <f t="shared" si="2"/>
        <v>---------</v>
      </c>
      <c r="O47" s="7" t="str">
        <f t="shared" si="3"/>
        <v>---------</v>
      </c>
      <c r="P47" s="3"/>
      <c r="Q47" s="3"/>
      <c r="R47" s="3"/>
      <c r="S47" s="4"/>
      <c r="T47" s="5">
        <f t="shared" si="4"/>
        <v>0</v>
      </c>
      <c r="U47" s="5">
        <f t="shared" si="5"/>
        <v>0</v>
      </c>
      <c r="V47" s="8" t="str">
        <f t="shared" si="6"/>
        <v>-----------</v>
      </c>
      <c r="W47" s="9" t="e">
        <f t="shared" si="7"/>
        <v>#DIV/0!</v>
      </c>
      <c r="X47" s="10" t="str">
        <f t="shared" si="8"/>
        <v>-----------</v>
      </c>
      <c r="Y47" s="11"/>
      <c r="Z47" s="12"/>
    </row>
    <row r="48" spans="1:26" x14ac:dyDescent="0.25">
      <c r="A48" s="14"/>
      <c r="B48" s="3" t="str" cm="1">
        <f t="array" ref="B48">IF(A48="", "",_FV( A48,"Ticker symbol",TRUE))</f>
        <v/>
      </c>
      <c r="C48" s="4"/>
      <c r="D48" s="4"/>
      <c r="E48" s="3"/>
      <c r="F48" s="3"/>
      <c r="G48" s="3"/>
      <c r="H48" s="5">
        <f t="shared" ca="1" si="0"/>
        <v>0</v>
      </c>
      <c r="I48" s="6" t="str" cm="1">
        <f t="array" ref="I48">IF(A48="", "",_FV( A48,"Price"))</f>
        <v/>
      </c>
      <c r="J48" s="5">
        <f t="shared" si="1"/>
        <v>0</v>
      </c>
      <c r="K48" s="3"/>
      <c r="L48" s="3"/>
      <c r="M48" s="3"/>
      <c r="N48" s="7" t="str">
        <f t="shared" si="2"/>
        <v>---------</v>
      </c>
      <c r="O48" s="7" t="str">
        <f t="shared" si="3"/>
        <v>---------</v>
      </c>
      <c r="P48" s="3"/>
      <c r="Q48" s="3"/>
      <c r="R48" s="3"/>
      <c r="S48" s="4"/>
      <c r="T48" s="5">
        <f t="shared" si="4"/>
        <v>0</v>
      </c>
      <c r="U48" s="5">
        <f t="shared" si="5"/>
        <v>0</v>
      </c>
      <c r="V48" s="8" t="str">
        <f t="shared" si="6"/>
        <v>-----------</v>
      </c>
      <c r="W48" s="9" t="e">
        <f t="shared" si="7"/>
        <v>#DIV/0!</v>
      </c>
      <c r="X48" s="10" t="str">
        <f t="shared" si="8"/>
        <v>-----------</v>
      </c>
      <c r="Y48" s="11"/>
      <c r="Z48" s="12"/>
    </row>
    <row r="49" spans="1:26" x14ac:dyDescent="0.25">
      <c r="A49" s="14"/>
      <c r="B49" s="3" t="str" cm="1">
        <f t="array" ref="B49">IF(A49="", "",_FV( A49,"Ticker symbol",TRUE))</f>
        <v/>
      </c>
      <c r="C49" s="4"/>
      <c r="D49" s="4"/>
      <c r="E49" s="3"/>
      <c r="F49" s="3"/>
      <c r="G49" s="3"/>
      <c r="H49" s="5">
        <f t="shared" ca="1" si="0"/>
        <v>0</v>
      </c>
      <c r="I49" s="6" t="str" cm="1">
        <f t="array" ref="I49">IF(A49="", "",_FV( A49,"Price"))</f>
        <v/>
      </c>
      <c r="J49" s="5">
        <f t="shared" si="1"/>
        <v>0</v>
      </c>
      <c r="K49" s="3"/>
      <c r="L49" s="3"/>
      <c r="M49" s="3"/>
      <c r="N49" s="7" t="str">
        <f t="shared" si="2"/>
        <v>---------</v>
      </c>
      <c r="O49" s="7" t="str">
        <f t="shared" si="3"/>
        <v>---------</v>
      </c>
      <c r="P49" s="3"/>
      <c r="Q49" s="3"/>
      <c r="R49" s="3"/>
      <c r="S49" s="4"/>
      <c r="T49" s="5">
        <f t="shared" si="4"/>
        <v>0</v>
      </c>
      <c r="U49" s="5">
        <f t="shared" si="5"/>
        <v>0</v>
      </c>
      <c r="V49" s="8" t="str">
        <f t="shared" si="6"/>
        <v>-----------</v>
      </c>
      <c r="W49" s="9" t="e">
        <f t="shared" si="7"/>
        <v>#DIV/0!</v>
      </c>
      <c r="X49" s="10" t="str">
        <f t="shared" si="8"/>
        <v>-----------</v>
      </c>
      <c r="Y49" s="11"/>
      <c r="Z49" s="12"/>
    </row>
    <row r="50" spans="1:26" x14ac:dyDescent="0.25">
      <c r="A50" s="14"/>
      <c r="B50" s="3" t="str" cm="1">
        <f t="array" ref="B50">IF(A50="", "",_FV( A50,"Ticker symbol",TRUE))</f>
        <v/>
      </c>
      <c r="C50" s="4"/>
      <c r="D50" s="4"/>
      <c r="E50" s="3"/>
      <c r="F50" s="3"/>
      <c r="G50" s="3"/>
      <c r="H50" s="5">
        <f t="shared" ca="1" si="0"/>
        <v>0</v>
      </c>
      <c r="I50" s="6" t="str" cm="1">
        <f t="array" ref="I50">IF(A50="", "",_FV( A50,"Price"))</f>
        <v/>
      </c>
      <c r="J50" s="5">
        <f t="shared" si="1"/>
        <v>0</v>
      </c>
      <c r="K50" s="3"/>
      <c r="L50" s="3"/>
      <c r="M50" s="3"/>
      <c r="N50" s="7" t="str">
        <f t="shared" si="2"/>
        <v>---------</v>
      </c>
      <c r="O50" s="7" t="str">
        <f t="shared" si="3"/>
        <v>---------</v>
      </c>
      <c r="P50" s="3"/>
      <c r="Q50" s="3"/>
      <c r="R50" s="3"/>
      <c r="S50" s="4"/>
      <c r="T50" s="5">
        <f t="shared" si="4"/>
        <v>0</v>
      </c>
      <c r="U50" s="5">
        <f t="shared" si="5"/>
        <v>0</v>
      </c>
      <c r="V50" s="8" t="str">
        <f t="shared" si="6"/>
        <v>-----------</v>
      </c>
      <c r="W50" s="9" t="e">
        <f t="shared" si="7"/>
        <v>#DIV/0!</v>
      </c>
      <c r="X50" s="10" t="str">
        <f t="shared" si="8"/>
        <v>-----------</v>
      </c>
      <c r="Y50" s="11"/>
      <c r="Z50" s="12"/>
    </row>
    <row r="51" spans="1:26" x14ac:dyDescent="0.25">
      <c r="A51" s="14"/>
      <c r="B51" s="3" t="str" cm="1">
        <f t="array" ref="B51">IF(A51="", "",_FV( A51,"Ticker symbol",TRUE))</f>
        <v/>
      </c>
      <c r="C51" s="4"/>
      <c r="D51" s="4"/>
      <c r="E51" s="3"/>
      <c r="F51" s="3"/>
      <c r="G51" s="3"/>
      <c r="H51" s="5">
        <f t="shared" ca="1" si="0"/>
        <v>0</v>
      </c>
      <c r="I51" s="6" t="str" cm="1">
        <f t="array" ref="I51">IF(A51="", "",_FV( A51,"Price"))</f>
        <v/>
      </c>
      <c r="J51" s="5">
        <f t="shared" si="1"/>
        <v>0</v>
      </c>
      <c r="K51" s="3"/>
      <c r="L51" s="3"/>
      <c r="M51" s="3"/>
      <c r="N51" s="7" t="str">
        <f t="shared" si="2"/>
        <v>---------</v>
      </c>
      <c r="O51" s="7" t="str">
        <f t="shared" si="3"/>
        <v>---------</v>
      </c>
      <c r="P51" s="3"/>
      <c r="Q51" s="3"/>
      <c r="R51" s="3"/>
      <c r="S51" s="4"/>
      <c r="T51" s="5">
        <f t="shared" si="4"/>
        <v>0</v>
      </c>
      <c r="U51" s="5">
        <f t="shared" si="5"/>
        <v>0</v>
      </c>
      <c r="V51" s="8" t="str">
        <f t="shared" si="6"/>
        <v>-----------</v>
      </c>
      <c r="W51" s="9" t="e">
        <f t="shared" si="7"/>
        <v>#DIV/0!</v>
      </c>
      <c r="X51" s="10" t="str">
        <f t="shared" si="8"/>
        <v>-----------</v>
      </c>
      <c r="Y51" s="11"/>
      <c r="Z51" s="12"/>
    </row>
  </sheetData>
  <conditionalFormatting sqref="T2:T51">
    <cfRule type="cellIs" dxfId="29" priority="1" operator="greaterThanOrEqual">
      <formula>0</formula>
    </cfRule>
    <cfRule type="cellIs" dxfId="28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McIntyre</dc:creator>
  <cp:lastModifiedBy>Ryan McIntyre</cp:lastModifiedBy>
  <dcterms:created xsi:type="dcterms:W3CDTF">2026-05-29T22:29:28Z</dcterms:created>
  <dcterms:modified xsi:type="dcterms:W3CDTF">2026-05-29T22:39:45Z</dcterms:modified>
</cp:coreProperties>
</file>